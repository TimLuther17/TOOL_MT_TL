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uther\PycharmProjects\TOOL_GTFS_Overpass\0_input_daten\eCitario\"/>
    </mc:Choice>
  </mc:AlternateContent>
  <xr:revisionPtr revIDLastSave="0" documentId="13_ncr:1_{9B68971D-2A96-4029-88C2-1EB02930E2F1}" xr6:coauthVersionLast="36" xr6:coauthVersionMax="47" xr10:uidLastSave="{00000000-0000-0000-0000-000000000000}"/>
  <bookViews>
    <workbookView xWindow="57480" yWindow="15960" windowWidth="29040" windowHeight="15720" xr2:uid="{00000000-000D-0000-FFFF-FFFF00000000}"/>
  </bookViews>
  <sheets>
    <sheet name="Fahrwiderstände" sheetId="1" r:id="rId1"/>
    <sheet name="Antrieb" sheetId="2" r:id="rId2"/>
    <sheet name="Nebenverbraucher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1" l="1"/>
  <c r="E22" i="1"/>
  <c r="F22" i="1"/>
  <c r="G22" i="1"/>
  <c r="C22" i="1"/>
  <c r="D24" i="1"/>
  <c r="E24" i="1"/>
  <c r="F24" i="1"/>
  <c r="G24" i="1"/>
  <c r="C24" i="1"/>
</calcChain>
</file>

<file path=xl/sharedStrings.xml><?xml version="1.0" encoding="utf-8"?>
<sst xmlns="http://schemas.openxmlformats.org/spreadsheetml/2006/main" count="388" uniqueCount="121">
  <si>
    <t xml:space="preserve">Parameter </t>
  </si>
  <si>
    <t xml:space="preserve">Einheit </t>
  </si>
  <si>
    <t>K</t>
  </si>
  <si>
    <t>G3</t>
  </si>
  <si>
    <t xml:space="preserve">G4 </t>
  </si>
  <si>
    <t>m</t>
  </si>
  <si>
    <t>m²</t>
  </si>
  <si>
    <t>front_area</t>
  </si>
  <si>
    <t>c_w</t>
  </si>
  <si>
    <t>rot_inertia</t>
  </si>
  <si>
    <t>c_rolling</t>
  </si>
  <si>
    <t>num_motors</t>
  </si>
  <si>
    <t xml:space="preserve">curb_weigth </t>
  </si>
  <si>
    <t>max_payload</t>
  </si>
  <si>
    <t>Fahrgastkapazität Max.</t>
  </si>
  <si>
    <t>Zulässiges Gesamtgewicht</t>
  </si>
  <si>
    <t>kg</t>
  </si>
  <si>
    <t xml:space="preserve">Leistung (peak) </t>
  </si>
  <si>
    <t>Leistung (dauer)</t>
  </si>
  <si>
    <t>kW</t>
  </si>
  <si>
    <t>Batteriekapazität</t>
  </si>
  <si>
    <t>kWh</t>
  </si>
  <si>
    <t>Kapazität je Batteriemodul</t>
  </si>
  <si>
    <t xml:space="preserve">kWh </t>
  </si>
  <si>
    <t xml:space="preserve">Anzahl Batteriemodule </t>
  </si>
  <si>
    <t>4 - 6</t>
  </si>
  <si>
    <t>4 - 7</t>
  </si>
  <si>
    <t>70 kg p.p</t>
  </si>
  <si>
    <t>Batterie eta</t>
  </si>
  <si>
    <t xml:space="preserve">Vehicel </t>
  </si>
  <si>
    <t>rolling_radius_front</t>
  </si>
  <si>
    <t>rolling_radius_rear</t>
  </si>
  <si>
    <t>eta_gear_front</t>
  </si>
  <si>
    <t>eta_gear_rear</t>
  </si>
  <si>
    <t>gear_ratio_front</t>
  </si>
  <si>
    <t>gear_ratio_rear</t>
  </si>
  <si>
    <t>None</t>
  </si>
  <si>
    <t>gear ratio rear 2</t>
  </si>
  <si>
    <t>gear ratio rear 1</t>
  </si>
  <si>
    <t xml:space="preserve">number_axles </t>
  </si>
  <si>
    <t>rolling_radius</t>
  </si>
  <si>
    <t>eta_gear</t>
  </si>
  <si>
    <t>gear_ratio</t>
  </si>
  <si>
    <t xml:space="preserve">Abhängigkeit </t>
  </si>
  <si>
    <t>Temp</t>
  </si>
  <si>
    <t>Elektrohydraulische Lenkung (intelligent eco steering)</t>
  </si>
  <si>
    <t>Pro Stopp</t>
  </si>
  <si>
    <t xml:space="preserve">x </t>
  </si>
  <si>
    <t>x</t>
  </si>
  <si>
    <t>(x)</t>
  </si>
  <si>
    <t>Turntable Controller (ATC)</t>
  </si>
  <si>
    <t>Hebe- und Senkanlage</t>
  </si>
  <si>
    <t>Luftfederung über Elektronische Niveauregelung (ENR)</t>
  </si>
  <si>
    <t>Schlechtwegfahrwerk</t>
  </si>
  <si>
    <t>Fahrwerk</t>
  </si>
  <si>
    <t>-</t>
  </si>
  <si>
    <t>Bremsen</t>
  </si>
  <si>
    <t>Druckluft-Scheibenbremsen an allen Achsen</t>
  </si>
  <si>
    <t>Elektronisches Stabilitätsprogramm (ESP®</t>
  </si>
  <si>
    <t>Elektronisches Bremssystem (EBS)</t>
  </si>
  <si>
    <t>Antiblockiersystem (ABS)</t>
  </si>
  <si>
    <t>Brems-Assistent (BAS)</t>
  </si>
  <si>
    <t>Antriebsschlupfregelung (ASR)</t>
  </si>
  <si>
    <t>Automatische Haltestellenbremse mit Anfahrsperre</t>
  </si>
  <si>
    <t>Feststellbremse</t>
  </si>
  <si>
    <t>Sicherheit und Fahrassistenzsysteme</t>
  </si>
  <si>
    <t>Pendelschlagprüfung nach ECE-R29</t>
  </si>
  <si>
    <t>Tire Pressure Monitoring (TPM)</t>
  </si>
  <si>
    <t>Preventive Brake Assist 2</t>
  </si>
  <si>
    <t>Sideguard Assist 2</t>
  </si>
  <si>
    <t>Elektronisches Stabilitätsprogramm (ESP®)</t>
  </si>
  <si>
    <t>Rückfahrkamera</t>
  </si>
  <si>
    <t>Akustisches Rückfahrwarnsignal</t>
  </si>
  <si>
    <t>Brandlöschanlage</t>
  </si>
  <si>
    <t>Regen-Licht-Sensor</t>
  </si>
  <si>
    <t>Flachblattscheibenwischer mit Wasserzuführung über Wischerblatt (Aqua Blade®)</t>
  </si>
  <si>
    <t>Aufbaufestigkeit nach ECE-R 66.02</t>
  </si>
  <si>
    <t>360°-Kamera</t>
  </si>
  <si>
    <t>270°-Kamera</t>
  </si>
  <si>
    <t>Traffic Sign Assist</t>
  </si>
  <si>
    <t>Frontguard Assist</t>
  </si>
  <si>
    <t>Attention Assist 2 (AtAs)</t>
  </si>
  <si>
    <t>MirrorCam</t>
  </si>
  <si>
    <t>Heizung, Lüftung und Klima</t>
  </si>
  <si>
    <t>Fahrerplatzklimatisierung</t>
  </si>
  <si>
    <t>EvoThermatik Basic</t>
  </si>
  <si>
    <t>EvoThermatik high comfort</t>
  </si>
  <si>
    <t>EvoThermatik Plus (CO2-Klimaanlage mit Wärmepumpe)</t>
  </si>
  <si>
    <t>Turbodachlüfter</t>
  </si>
  <si>
    <t>Thermomanagement</t>
  </si>
  <si>
    <t>Türen und Verglasung</t>
  </si>
  <si>
    <t>Anzahl Türen</t>
  </si>
  <si>
    <t>Schiebeschwenktür (SST)</t>
  </si>
  <si>
    <t>Innenschwenktür (IST)</t>
  </si>
  <si>
    <t>Rampe manuell</t>
  </si>
  <si>
    <t>Rampe elektrisch</t>
  </si>
  <si>
    <t>Einfachverglasung</t>
  </si>
  <si>
    <t>Doppelverglasung</t>
  </si>
  <si>
    <t>Windschutzscheibe beheizbar</t>
  </si>
  <si>
    <t>Beleuchtung</t>
  </si>
  <si>
    <t>Abblendlicht</t>
  </si>
  <si>
    <t>Fernlicht</t>
  </si>
  <si>
    <t>Hauptscheinwerfer in LED-Technik</t>
  </si>
  <si>
    <t>Nebelscheinwerfer</t>
  </si>
  <si>
    <t>Abbiegelicht</t>
  </si>
  <si>
    <t xml:space="preserve">Tagfahrlicht LED </t>
  </si>
  <si>
    <t>2./ 3.</t>
  </si>
  <si>
    <t>Komfort, Infotainment, Konnektivität</t>
  </si>
  <si>
    <t>Audiosystem</t>
  </si>
  <si>
    <t>Bildschirme und Anzeigen</t>
  </si>
  <si>
    <t>Bluetooth/ Carplay/ Android Auto x</t>
  </si>
  <si>
    <t xml:space="preserve">Sitz- und Lenkradheizung </t>
  </si>
  <si>
    <t xml:space="preserve">US Ports </t>
  </si>
  <si>
    <t>Batteriekonditionierung</t>
  </si>
  <si>
    <t>Kühlung von Motoren und Batterie</t>
  </si>
  <si>
    <t>Batteriebetriebstemperatur</t>
  </si>
  <si>
    <t xml:space="preserve">Fahrgastzellen Beleuchtung  </t>
  </si>
  <si>
    <t>Fahrgastinformationssysteme: Bildschirme und Anzeigen</t>
  </si>
  <si>
    <t xml:space="preserve">Leistung  </t>
  </si>
  <si>
    <t xml:space="preserve">Witterung </t>
  </si>
  <si>
    <t>max_payload_personen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</si>
</sst>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2D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49" fontId="0" fillId="0" borderId="0" xfId="0" applyNumberFormat="1" applyAlignment="1">
      <alignment horizontal="right"/>
    </xf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right" inden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wrapText="1"/>
    </xf>
    <xf numFmtId="2" fontId="0" fillId="0" borderId="0" xfId="0" applyNumberForma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K9" sqref="K7:K9"/>
    </sheetView>
  </sheetViews>
  <sheetFormatPr baseColWidth="10" defaultColWidth="8.7265625" defaultRowHeight="14.5" x14ac:dyDescent="0.35"/>
  <cols>
    <col min="1" max="1" width="38" customWidth="1"/>
  </cols>
  <sheetData>
    <row r="1" spans="1:7" x14ac:dyDescent="0.35">
      <c r="A1" s="1" t="s">
        <v>0</v>
      </c>
      <c r="B1" s="1" t="s">
        <v>1</v>
      </c>
    </row>
    <row r="2" spans="1:7" x14ac:dyDescent="0.35">
      <c r="A2" t="s">
        <v>29</v>
      </c>
      <c r="C2" s="5" t="s">
        <v>2</v>
      </c>
      <c r="D2" s="5">
        <v>2</v>
      </c>
      <c r="E2" s="5">
        <v>3</v>
      </c>
      <c r="F2" s="5" t="s">
        <v>3</v>
      </c>
      <c r="G2" s="5" t="s">
        <v>4</v>
      </c>
    </row>
    <row r="3" spans="1:7" x14ac:dyDescent="0.35">
      <c r="A3" t="s">
        <v>7</v>
      </c>
      <c r="B3" t="s">
        <v>6</v>
      </c>
      <c r="C3">
        <v>8</v>
      </c>
      <c r="D3">
        <v>8</v>
      </c>
      <c r="E3">
        <v>8</v>
      </c>
      <c r="F3">
        <v>8</v>
      </c>
      <c r="G3">
        <v>8</v>
      </c>
    </row>
    <row r="4" spans="1:7" x14ac:dyDescent="0.35">
      <c r="A4" t="s">
        <v>8</v>
      </c>
      <c r="C4">
        <v>0.56000000000000005</v>
      </c>
      <c r="D4">
        <v>0.56000000000000005</v>
      </c>
      <c r="E4">
        <v>0.56000000000000005</v>
      </c>
      <c r="F4">
        <v>0.56000000000000005</v>
      </c>
      <c r="G4">
        <v>0.56000000000000005</v>
      </c>
    </row>
    <row r="5" spans="1:7" x14ac:dyDescent="0.35">
      <c r="A5" t="s">
        <v>9</v>
      </c>
      <c r="C5">
        <v>1.05</v>
      </c>
      <c r="D5">
        <v>1.05</v>
      </c>
      <c r="E5">
        <v>1.05</v>
      </c>
      <c r="F5">
        <v>1.05</v>
      </c>
      <c r="G5">
        <v>1.05</v>
      </c>
    </row>
    <row r="6" spans="1:7" x14ac:dyDescent="0.35">
      <c r="A6" t="s">
        <v>40</v>
      </c>
      <c r="B6" t="s">
        <v>5</v>
      </c>
      <c r="C6">
        <v>0.47799999999999998</v>
      </c>
      <c r="D6">
        <v>0.47799999999999998</v>
      </c>
      <c r="E6">
        <v>0.47799999999999998</v>
      </c>
      <c r="F6">
        <v>0.47799999999999998</v>
      </c>
      <c r="G6">
        <v>0.47799999999999998</v>
      </c>
    </row>
    <row r="7" spans="1:7" x14ac:dyDescent="0.35">
      <c r="A7" t="s">
        <v>30</v>
      </c>
      <c r="B7" t="s">
        <v>5</v>
      </c>
      <c r="C7">
        <v>0.47799999999999998</v>
      </c>
      <c r="D7">
        <v>0.47799999999999998</v>
      </c>
      <c r="E7">
        <v>0.47799999999999998</v>
      </c>
      <c r="F7">
        <v>0.47799999999999998</v>
      </c>
      <c r="G7">
        <v>0.47799999999999998</v>
      </c>
    </row>
    <row r="8" spans="1:7" x14ac:dyDescent="0.35">
      <c r="A8" t="s">
        <v>31</v>
      </c>
      <c r="B8" t="s">
        <v>5</v>
      </c>
      <c r="C8">
        <v>0.47799999999999998</v>
      </c>
      <c r="D8">
        <v>0.47799999999999998</v>
      </c>
      <c r="E8">
        <v>0.47799999999999998</v>
      </c>
      <c r="F8">
        <v>0.47799999999999998</v>
      </c>
      <c r="G8">
        <v>0.47799999999999998</v>
      </c>
    </row>
    <row r="9" spans="1:7" x14ac:dyDescent="0.35">
      <c r="A9" t="s">
        <v>10</v>
      </c>
      <c r="C9">
        <v>8.0000000000000002E-3</v>
      </c>
      <c r="D9">
        <v>8.0000000000000002E-3</v>
      </c>
      <c r="E9">
        <v>8.0000000000000002E-3</v>
      </c>
      <c r="F9">
        <v>8.0000000000000002E-3</v>
      </c>
      <c r="G9">
        <v>8.0000000000000002E-3</v>
      </c>
    </row>
    <row r="10" spans="1:7" x14ac:dyDescent="0.35">
      <c r="A10" t="s">
        <v>39</v>
      </c>
      <c r="C10">
        <v>2</v>
      </c>
      <c r="D10">
        <v>2</v>
      </c>
      <c r="E10">
        <v>2</v>
      </c>
      <c r="F10">
        <v>3</v>
      </c>
      <c r="G10">
        <v>3</v>
      </c>
    </row>
    <row r="11" spans="1:7" x14ac:dyDescent="0.35">
      <c r="A11" t="s">
        <v>41</v>
      </c>
      <c r="C11">
        <v>0.98</v>
      </c>
      <c r="D11">
        <v>0.98</v>
      </c>
      <c r="E11">
        <v>0.98</v>
      </c>
      <c r="F11">
        <v>0.98</v>
      </c>
      <c r="G11">
        <v>0.98</v>
      </c>
    </row>
    <row r="12" spans="1:7" x14ac:dyDescent="0.35">
      <c r="A12" t="s">
        <v>32</v>
      </c>
      <c r="C12">
        <v>0.98</v>
      </c>
      <c r="D12">
        <v>0.98</v>
      </c>
      <c r="E12">
        <v>0.98</v>
      </c>
      <c r="F12">
        <v>0.98</v>
      </c>
      <c r="G12">
        <v>0.98</v>
      </c>
    </row>
    <row r="13" spans="1:7" x14ac:dyDescent="0.35">
      <c r="A13" t="s">
        <v>33</v>
      </c>
      <c r="C13">
        <v>0.98</v>
      </c>
      <c r="D13">
        <v>0.98</v>
      </c>
      <c r="E13">
        <v>0.98</v>
      </c>
      <c r="F13">
        <v>0.98</v>
      </c>
      <c r="G13">
        <v>0.98</v>
      </c>
    </row>
    <row r="14" spans="1:7" x14ac:dyDescent="0.35">
      <c r="A14" t="s">
        <v>42</v>
      </c>
      <c r="C14">
        <v>22.66</v>
      </c>
      <c r="D14">
        <v>22.66</v>
      </c>
      <c r="E14">
        <v>22.66</v>
      </c>
      <c r="F14">
        <v>22.66</v>
      </c>
      <c r="G14">
        <v>22.66</v>
      </c>
    </row>
    <row r="15" spans="1:7" x14ac:dyDescent="0.35">
      <c r="A15" t="s">
        <v>34</v>
      </c>
      <c r="C15">
        <v>22.66</v>
      </c>
      <c r="D15">
        <v>22.66</v>
      </c>
      <c r="E15">
        <v>22.66</v>
      </c>
      <c r="F15">
        <v>22.66</v>
      </c>
      <c r="G15">
        <v>22.66</v>
      </c>
    </row>
    <row r="16" spans="1:7" x14ac:dyDescent="0.35">
      <c r="A16" t="s">
        <v>35</v>
      </c>
      <c r="C16">
        <v>22.66</v>
      </c>
      <c r="D16">
        <v>22.66</v>
      </c>
      <c r="E16">
        <v>22.66</v>
      </c>
      <c r="F16">
        <v>22.66</v>
      </c>
      <c r="G16">
        <v>22.66</v>
      </c>
    </row>
    <row r="17" spans="1:7" x14ac:dyDescent="0.35">
      <c r="A17" t="s">
        <v>38</v>
      </c>
      <c r="C17" t="s">
        <v>36</v>
      </c>
      <c r="D17" t="s">
        <v>36</v>
      </c>
      <c r="E17" t="s">
        <v>36</v>
      </c>
      <c r="F17" t="s">
        <v>36</v>
      </c>
      <c r="G17" t="s">
        <v>36</v>
      </c>
    </row>
    <row r="18" spans="1:7" x14ac:dyDescent="0.35">
      <c r="A18" t="s">
        <v>37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</row>
    <row r="20" spans="1:7" x14ac:dyDescent="0.35">
      <c r="A20" t="s">
        <v>12</v>
      </c>
      <c r="B20" t="s">
        <v>16</v>
      </c>
      <c r="C20">
        <v>14000</v>
      </c>
      <c r="D20">
        <v>14500</v>
      </c>
      <c r="E20">
        <v>14500</v>
      </c>
      <c r="F20">
        <v>20000</v>
      </c>
      <c r="G20">
        <v>20365</v>
      </c>
    </row>
    <row r="21" spans="1:7" x14ac:dyDescent="0.35">
      <c r="A21" t="s">
        <v>15</v>
      </c>
      <c r="B21" t="s">
        <v>16</v>
      </c>
      <c r="C21">
        <v>20000</v>
      </c>
      <c r="D21">
        <v>20000</v>
      </c>
      <c r="E21">
        <v>20000</v>
      </c>
      <c r="F21">
        <v>30000</v>
      </c>
      <c r="G21">
        <v>29000</v>
      </c>
    </row>
    <row r="22" spans="1:7" x14ac:dyDescent="0.35">
      <c r="A22" t="s">
        <v>13</v>
      </c>
      <c r="C22">
        <f>C21-C20</f>
        <v>6000</v>
      </c>
      <c r="D22">
        <f t="shared" ref="D22:G22" si="0">D21-D20</f>
        <v>5500</v>
      </c>
      <c r="E22">
        <f t="shared" si="0"/>
        <v>5500</v>
      </c>
      <c r="F22">
        <f t="shared" si="0"/>
        <v>10000</v>
      </c>
      <c r="G22">
        <f t="shared" si="0"/>
        <v>8635</v>
      </c>
    </row>
    <row r="23" spans="1:7" x14ac:dyDescent="0.35">
      <c r="A23" t="s">
        <v>14</v>
      </c>
      <c r="C23">
        <v>84</v>
      </c>
      <c r="D23">
        <v>88</v>
      </c>
      <c r="E23">
        <v>88</v>
      </c>
      <c r="F23">
        <v>146</v>
      </c>
      <c r="G23">
        <v>146</v>
      </c>
    </row>
    <row r="24" spans="1:7" x14ac:dyDescent="0.35">
      <c r="A24" t="s">
        <v>120</v>
      </c>
      <c r="B24" t="s">
        <v>27</v>
      </c>
      <c r="C24" s="4">
        <f>C23*70</f>
        <v>5880</v>
      </c>
      <c r="D24" s="3">
        <f>D23*70</f>
        <v>6160</v>
      </c>
      <c r="E24" s="3">
        <f>E23*70</f>
        <v>6160</v>
      </c>
      <c r="F24" s="3">
        <f>F23*70</f>
        <v>10220</v>
      </c>
      <c r="G24" s="3">
        <f>G23*70</f>
        <v>10220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2933A-F33A-4B50-9125-1BF1BFB24895}">
  <dimension ref="A1:G8"/>
  <sheetViews>
    <sheetView workbookViewId="0">
      <selection activeCell="D19" sqref="D19"/>
    </sheetView>
  </sheetViews>
  <sheetFormatPr baseColWidth="10" defaultRowHeight="14.5" x14ac:dyDescent="0.35"/>
  <cols>
    <col min="1" max="1" width="33.9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>
        <v>2</v>
      </c>
      <c r="E1" s="1">
        <v>3</v>
      </c>
      <c r="F1" s="1" t="s">
        <v>3</v>
      </c>
      <c r="G1" s="1" t="s">
        <v>4</v>
      </c>
    </row>
    <row r="2" spans="1:7" x14ac:dyDescent="0.35">
      <c r="A2" t="s">
        <v>17</v>
      </c>
      <c r="B2" t="s">
        <v>19</v>
      </c>
      <c r="C2">
        <v>250</v>
      </c>
      <c r="D2">
        <v>250</v>
      </c>
      <c r="E2">
        <v>250</v>
      </c>
      <c r="F2">
        <v>250</v>
      </c>
      <c r="G2">
        <v>250</v>
      </c>
    </row>
    <row r="3" spans="1:7" x14ac:dyDescent="0.35">
      <c r="A3" t="s">
        <v>18</v>
      </c>
      <c r="B3" t="s">
        <v>19</v>
      </c>
      <c r="C3">
        <v>125</v>
      </c>
      <c r="D3">
        <v>125</v>
      </c>
      <c r="E3">
        <v>125</v>
      </c>
      <c r="F3">
        <v>125</v>
      </c>
      <c r="G3">
        <v>125</v>
      </c>
    </row>
    <row r="4" spans="1:7" x14ac:dyDescent="0.35">
      <c r="A4" t="s">
        <v>22</v>
      </c>
      <c r="B4" t="s">
        <v>23</v>
      </c>
      <c r="C4">
        <v>111</v>
      </c>
      <c r="D4">
        <v>111</v>
      </c>
      <c r="E4">
        <v>111</v>
      </c>
      <c r="F4">
        <v>111</v>
      </c>
      <c r="G4">
        <v>111</v>
      </c>
    </row>
    <row r="5" spans="1:7" x14ac:dyDescent="0.35">
      <c r="A5" t="s">
        <v>24</v>
      </c>
      <c r="C5" s="2" t="s">
        <v>25</v>
      </c>
      <c r="D5" s="2" t="s">
        <v>25</v>
      </c>
      <c r="E5" s="2" t="s">
        <v>25</v>
      </c>
      <c r="F5" s="2" t="s">
        <v>26</v>
      </c>
      <c r="G5" s="2" t="s">
        <v>26</v>
      </c>
    </row>
    <row r="6" spans="1:7" x14ac:dyDescent="0.35">
      <c r="A6" t="s">
        <v>20</v>
      </c>
      <c r="B6" t="s">
        <v>21</v>
      </c>
      <c r="C6">
        <v>444</v>
      </c>
      <c r="D6">
        <v>444</v>
      </c>
      <c r="E6">
        <v>555</v>
      </c>
      <c r="F6">
        <v>666</v>
      </c>
      <c r="G6">
        <v>666</v>
      </c>
    </row>
    <row r="7" spans="1:7" x14ac:dyDescent="0.35">
      <c r="A7" t="s">
        <v>28</v>
      </c>
      <c r="C7">
        <v>0.95</v>
      </c>
      <c r="D7">
        <v>0.95</v>
      </c>
      <c r="E7">
        <v>0.95</v>
      </c>
      <c r="F7">
        <v>0.95</v>
      </c>
      <c r="G7">
        <v>0.95</v>
      </c>
    </row>
    <row r="8" spans="1:7" x14ac:dyDescent="0.35">
      <c r="A8" t="s">
        <v>11</v>
      </c>
      <c r="C8">
        <v>2</v>
      </c>
      <c r="D8">
        <v>2</v>
      </c>
      <c r="F8">
        <v>4</v>
      </c>
      <c r="G8">
        <v>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5D40-52F4-493A-8E53-0F5AE0F7C087}">
  <dimension ref="A1:I91"/>
  <sheetViews>
    <sheetView workbookViewId="0">
      <selection activeCell="J15" sqref="J15"/>
    </sheetView>
  </sheetViews>
  <sheetFormatPr baseColWidth="10" defaultRowHeight="14.5" x14ac:dyDescent="0.35"/>
  <cols>
    <col min="1" max="1" width="32.81640625" customWidth="1"/>
  </cols>
  <sheetData>
    <row r="1" spans="1:9" x14ac:dyDescent="0.35">
      <c r="A1" s="1" t="s">
        <v>0</v>
      </c>
      <c r="B1" s="1" t="s">
        <v>118</v>
      </c>
      <c r="I1" s="11" t="s">
        <v>43</v>
      </c>
    </row>
    <row r="2" spans="1:9" x14ac:dyDescent="0.35">
      <c r="A2" s="6" t="s">
        <v>29</v>
      </c>
      <c r="C2" s="5" t="s">
        <v>2</v>
      </c>
      <c r="D2" s="5">
        <v>2</v>
      </c>
      <c r="E2" s="5">
        <v>3</v>
      </c>
      <c r="F2" s="5" t="s">
        <v>3</v>
      </c>
      <c r="G2" s="5" t="s">
        <v>4</v>
      </c>
      <c r="I2" t="s">
        <v>44</v>
      </c>
    </row>
    <row r="3" spans="1:9" x14ac:dyDescent="0.35">
      <c r="A3" s="8" t="s">
        <v>54</v>
      </c>
      <c r="I3" t="s">
        <v>119</v>
      </c>
    </row>
    <row r="4" spans="1:9" ht="29" x14ac:dyDescent="0.35">
      <c r="A4" s="6" t="s">
        <v>45</v>
      </c>
      <c r="C4" s="7" t="s">
        <v>47</v>
      </c>
      <c r="D4" s="7" t="s">
        <v>48</v>
      </c>
      <c r="E4" s="7" t="s">
        <v>47</v>
      </c>
      <c r="F4" s="7" t="s">
        <v>48</v>
      </c>
      <c r="G4" s="7" t="s">
        <v>47</v>
      </c>
    </row>
    <row r="5" spans="1:9" x14ac:dyDescent="0.35">
      <c r="A5" s="6" t="s">
        <v>51</v>
      </c>
      <c r="C5" s="7" t="s">
        <v>49</v>
      </c>
      <c r="D5" s="7" t="s">
        <v>49</v>
      </c>
      <c r="E5" s="7" t="s">
        <v>49</v>
      </c>
      <c r="F5" s="7" t="s">
        <v>47</v>
      </c>
      <c r="G5" s="7" t="s">
        <v>48</v>
      </c>
      <c r="I5" t="s">
        <v>46</v>
      </c>
    </row>
    <row r="6" spans="1:9" x14ac:dyDescent="0.35">
      <c r="A6" s="6" t="s">
        <v>50</v>
      </c>
      <c r="C6" s="7" t="s">
        <v>55</v>
      </c>
      <c r="D6" s="7" t="s">
        <v>55</v>
      </c>
      <c r="E6" s="7" t="s">
        <v>55</v>
      </c>
      <c r="F6" s="7" t="s">
        <v>47</v>
      </c>
      <c r="G6" s="7" t="s">
        <v>48</v>
      </c>
    </row>
    <row r="7" spans="1:9" ht="29" x14ac:dyDescent="0.35">
      <c r="A7" s="6" t="s">
        <v>52</v>
      </c>
      <c r="C7" s="7" t="s">
        <v>47</v>
      </c>
      <c r="D7" s="7" t="s">
        <v>48</v>
      </c>
      <c r="E7" s="7" t="s">
        <v>47</v>
      </c>
      <c r="F7" s="7" t="s">
        <v>48</v>
      </c>
      <c r="G7" s="7" t="s">
        <v>48</v>
      </c>
    </row>
    <row r="8" spans="1:9" x14ac:dyDescent="0.35">
      <c r="A8" s="6" t="s">
        <v>53</v>
      </c>
      <c r="C8" s="7" t="s">
        <v>49</v>
      </c>
      <c r="D8" s="7" t="s">
        <v>49</v>
      </c>
      <c r="E8" s="7" t="s">
        <v>49</v>
      </c>
      <c r="F8" s="7" t="s">
        <v>49</v>
      </c>
      <c r="G8" s="7" t="s">
        <v>49</v>
      </c>
    </row>
    <row r="9" spans="1:9" x14ac:dyDescent="0.35">
      <c r="A9" s="6"/>
      <c r="C9" s="7"/>
      <c r="D9" s="7"/>
      <c r="E9" s="7"/>
      <c r="F9" s="7"/>
      <c r="G9" s="7"/>
    </row>
    <row r="11" spans="1:9" x14ac:dyDescent="0.35">
      <c r="A11" s="8" t="s">
        <v>56</v>
      </c>
      <c r="C11" s="7"/>
      <c r="D11" s="7"/>
      <c r="E11" s="7"/>
      <c r="F11" s="7"/>
      <c r="G11" s="7"/>
    </row>
    <row r="12" spans="1:9" ht="29" x14ac:dyDescent="0.35">
      <c r="A12" s="6" t="s">
        <v>57</v>
      </c>
      <c r="C12" s="7" t="s">
        <v>47</v>
      </c>
      <c r="D12" s="7" t="s">
        <v>48</v>
      </c>
      <c r="E12" s="7" t="s">
        <v>47</v>
      </c>
      <c r="F12" s="7" t="s">
        <v>48</v>
      </c>
      <c r="G12" s="7" t="s">
        <v>47</v>
      </c>
    </row>
    <row r="13" spans="1:9" ht="29" x14ac:dyDescent="0.35">
      <c r="A13" s="6" t="s">
        <v>58</v>
      </c>
      <c r="C13" s="7" t="s">
        <v>47</v>
      </c>
      <c r="D13" s="7" t="s">
        <v>48</v>
      </c>
      <c r="E13" s="7" t="s">
        <v>47</v>
      </c>
      <c r="F13" s="7" t="s">
        <v>55</v>
      </c>
      <c r="G13" s="7" t="s">
        <v>55</v>
      </c>
    </row>
    <row r="14" spans="1:9" x14ac:dyDescent="0.35">
      <c r="A14" s="6" t="s">
        <v>59</v>
      </c>
      <c r="C14" s="7" t="s">
        <v>47</v>
      </c>
      <c r="D14" s="7" t="s">
        <v>48</v>
      </c>
      <c r="E14" s="7" t="s">
        <v>47</v>
      </c>
      <c r="F14" s="7" t="s">
        <v>48</v>
      </c>
      <c r="G14" s="7" t="s">
        <v>47</v>
      </c>
    </row>
    <row r="15" spans="1:9" x14ac:dyDescent="0.35">
      <c r="A15" s="6" t="s">
        <v>60</v>
      </c>
      <c r="C15" s="7" t="s">
        <v>47</v>
      </c>
      <c r="D15" s="7" t="s">
        <v>48</v>
      </c>
      <c r="E15" s="7" t="s">
        <v>47</v>
      </c>
      <c r="F15" s="7" t="s">
        <v>48</v>
      </c>
      <c r="G15" s="7" t="s">
        <v>47</v>
      </c>
    </row>
    <row r="16" spans="1:9" x14ac:dyDescent="0.35">
      <c r="A16" s="6" t="s">
        <v>61</v>
      </c>
      <c r="C16" s="7" t="s">
        <v>47</v>
      </c>
      <c r="D16" s="7" t="s">
        <v>48</v>
      </c>
      <c r="E16" s="7" t="s">
        <v>47</v>
      </c>
      <c r="F16" s="7" t="s">
        <v>48</v>
      </c>
      <c r="G16" s="7" t="s">
        <v>47</v>
      </c>
    </row>
    <row r="17" spans="1:7" x14ac:dyDescent="0.35">
      <c r="A17" s="6" t="s">
        <v>62</v>
      </c>
      <c r="C17" s="7" t="s">
        <v>47</v>
      </c>
      <c r="D17" s="7" t="s">
        <v>48</v>
      </c>
      <c r="E17" s="7" t="s">
        <v>47</v>
      </c>
      <c r="F17" s="7" t="s">
        <v>48</v>
      </c>
      <c r="G17" s="7" t="s">
        <v>47</v>
      </c>
    </row>
    <row r="18" spans="1:7" ht="29" x14ac:dyDescent="0.35">
      <c r="A18" s="6" t="s">
        <v>63</v>
      </c>
      <c r="C18" s="7" t="s">
        <v>47</v>
      </c>
      <c r="D18" s="7" t="s">
        <v>48</v>
      </c>
      <c r="E18" s="7" t="s">
        <v>47</v>
      </c>
      <c r="F18" s="7" t="s">
        <v>48</v>
      </c>
      <c r="G18" s="7" t="s">
        <v>47</v>
      </c>
    </row>
    <row r="19" spans="1:7" x14ac:dyDescent="0.35">
      <c r="A19" s="6" t="s">
        <v>64</v>
      </c>
      <c r="C19" s="7" t="s">
        <v>47</v>
      </c>
      <c r="D19" s="7" t="s">
        <v>48</v>
      </c>
      <c r="E19" s="7" t="s">
        <v>47</v>
      </c>
      <c r="F19" s="7" t="s">
        <v>48</v>
      </c>
      <c r="G19" s="7" t="s">
        <v>47</v>
      </c>
    </row>
    <row r="20" spans="1:7" x14ac:dyDescent="0.35">
      <c r="A20" s="6"/>
      <c r="C20" s="7"/>
      <c r="D20" s="7"/>
      <c r="E20" s="7"/>
      <c r="F20" s="7"/>
      <c r="G20" s="7"/>
    </row>
    <row r="21" spans="1:7" x14ac:dyDescent="0.35">
      <c r="A21" s="6"/>
      <c r="C21" s="7"/>
      <c r="D21" s="7"/>
      <c r="E21" s="7"/>
      <c r="F21" s="7"/>
      <c r="G21" s="7"/>
    </row>
    <row r="22" spans="1:7" x14ac:dyDescent="0.35">
      <c r="A22" s="8" t="s">
        <v>65</v>
      </c>
      <c r="C22" s="7"/>
      <c r="D22" s="7"/>
      <c r="E22" s="7"/>
      <c r="F22" s="7"/>
      <c r="G22" s="7"/>
    </row>
    <row r="23" spans="1:7" x14ac:dyDescent="0.35">
      <c r="A23" s="6" t="s">
        <v>66</v>
      </c>
      <c r="C23" s="7" t="s">
        <v>47</v>
      </c>
      <c r="D23" s="7" t="s">
        <v>48</v>
      </c>
      <c r="E23" s="7" t="s">
        <v>47</v>
      </c>
      <c r="F23" s="7" t="s">
        <v>48</v>
      </c>
      <c r="G23" s="7" t="s">
        <v>47</v>
      </c>
    </row>
    <row r="24" spans="1:7" x14ac:dyDescent="0.35">
      <c r="A24" s="6" t="s">
        <v>67</v>
      </c>
      <c r="C24" s="7" t="s">
        <v>47</v>
      </c>
      <c r="D24" s="7" t="s">
        <v>48</v>
      </c>
      <c r="E24" s="7" t="s">
        <v>47</v>
      </c>
      <c r="F24" s="7" t="s">
        <v>48</v>
      </c>
      <c r="G24" s="7" t="s">
        <v>47</v>
      </c>
    </row>
    <row r="25" spans="1:7" x14ac:dyDescent="0.35">
      <c r="A25" s="6" t="s">
        <v>68</v>
      </c>
      <c r="C25" s="7" t="s">
        <v>49</v>
      </c>
      <c r="D25" s="7" t="s">
        <v>49</v>
      </c>
      <c r="E25" s="7" t="s">
        <v>49</v>
      </c>
      <c r="F25" s="7" t="s">
        <v>49</v>
      </c>
      <c r="G25" s="7" t="s">
        <v>49</v>
      </c>
    </row>
    <row r="26" spans="1:7" x14ac:dyDescent="0.35">
      <c r="A26" s="6" t="s">
        <v>69</v>
      </c>
      <c r="C26" s="7" t="s">
        <v>47</v>
      </c>
      <c r="D26" s="7" t="s">
        <v>48</v>
      </c>
      <c r="E26" s="7" t="s">
        <v>47</v>
      </c>
      <c r="F26" s="7" t="s">
        <v>48</v>
      </c>
      <c r="G26" s="7" t="s">
        <v>47</v>
      </c>
    </row>
    <row r="27" spans="1:7" ht="29" x14ac:dyDescent="0.35">
      <c r="A27" s="6" t="s">
        <v>70</v>
      </c>
      <c r="C27" s="7" t="s">
        <v>47</v>
      </c>
      <c r="D27" s="7" t="s">
        <v>48</v>
      </c>
      <c r="E27" s="7" t="s">
        <v>47</v>
      </c>
      <c r="F27" s="7" t="s">
        <v>55</v>
      </c>
      <c r="G27" s="7" t="s">
        <v>55</v>
      </c>
    </row>
    <row r="28" spans="1:7" x14ac:dyDescent="0.35">
      <c r="A28" s="6" t="s">
        <v>71</v>
      </c>
      <c r="C28" s="7" t="s">
        <v>47</v>
      </c>
      <c r="D28" s="7" t="s">
        <v>48</v>
      </c>
      <c r="E28" s="7" t="s">
        <v>47</v>
      </c>
      <c r="F28" s="7" t="s">
        <v>48</v>
      </c>
      <c r="G28" s="7" t="s">
        <v>47</v>
      </c>
    </row>
    <row r="29" spans="1:7" x14ac:dyDescent="0.35">
      <c r="A29" s="6" t="s">
        <v>72</v>
      </c>
      <c r="C29" s="7" t="s">
        <v>49</v>
      </c>
      <c r="D29" s="7" t="s">
        <v>49</v>
      </c>
      <c r="E29" s="7" t="s">
        <v>49</v>
      </c>
      <c r="F29" s="7" t="s">
        <v>49</v>
      </c>
      <c r="G29" s="7" t="s">
        <v>49</v>
      </c>
    </row>
    <row r="30" spans="1:7" x14ac:dyDescent="0.35">
      <c r="A30" s="6" t="s">
        <v>73</v>
      </c>
      <c r="C30" s="7" t="s">
        <v>49</v>
      </c>
      <c r="D30" s="7" t="s">
        <v>49</v>
      </c>
      <c r="E30" s="7" t="s">
        <v>49</v>
      </c>
      <c r="F30" s="7" t="s">
        <v>49</v>
      </c>
      <c r="G30" s="7" t="s">
        <v>49</v>
      </c>
    </row>
    <row r="31" spans="1:7" x14ac:dyDescent="0.35">
      <c r="A31" s="6" t="s">
        <v>74</v>
      </c>
      <c r="C31" s="7" t="s">
        <v>49</v>
      </c>
      <c r="D31" s="7" t="s">
        <v>49</v>
      </c>
      <c r="E31" s="7" t="s">
        <v>49</v>
      </c>
      <c r="F31" s="7" t="s">
        <v>49</v>
      </c>
      <c r="G31" s="7" t="s">
        <v>49</v>
      </c>
    </row>
    <row r="32" spans="1:7" ht="43.5" x14ac:dyDescent="0.35">
      <c r="A32" s="6" t="s">
        <v>75</v>
      </c>
      <c r="C32" s="7" t="s">
        <v>47</v>
      </c>
      <c r="D32" s="7" t="s">
        <v>48</v>
      </c>
      <c r="E32" s="7" t="s">
        <v>47</v>
      </c>
      <c r="F32" s="7" t="s">
        <v>48</v>
      </c>
      <c r="G32" s="7" t="s">
        <v>47</v>
      </c>
    </row>
    <row r="33" spans="1:7" x14ac:dyDescent="0.35">
      <c r="A33" s="6" t="s">
        <v>76</v>
      </c>
      <c r="C33" s="7" t="s">
        <v>47</v>
      </c>
      <c r="D33" s="7" t="s">
        <v>48</v>
      </c>
      <c r="E33" s="7" t="s">
        <v>47</v>
      </c>
      <c r="F33" s="7" t="s">
        <v>48</v>
      </c>
      <c r="G33" s="7" t="s">
        <v>47</v>
      </c>
    </row>
    <row r="34" spans="1:7" x14ac:dyDescent="0.35">
      <c r="A34" s="6" t="s">
        <v>77</v>
      </c>
      <c r="C34" s="7" t="s">
        <v>49</v>
      </c>
      <c r="D34" s="7" t="s">
        <v>49</v>
      </c>
      <c r="E34" s="7" t="s">
        <v>49</v>
      </c>
      <c r="F34" s="7" t="s">
        <v>55</v>
      </c>
      <c r="G34" s="7" t="s">
        <v>55</v>
      </c>
    </row>
    <row r="35" spans="1:7" x14ac:dyDescent="0.35">
      <c r="A35" s="6" t="s">
        <v>78</v>
      </c>
      <c r="C35" s="7" t="s">
        <v>55</v>
      </c>
      <c r="D35" s="7" t="s">
        <v>55</v>
      </c>
      <c r="E35" s="7" t="s">
        <v>55</v>
      </c>
      <c r="F35" s="7" t="s">
        <v>49</v>
      </c>
      <c r="G35" s="7" t="s">
        <v>49</v>
      </c>
    </row>
    <row r="36" spans="1:7" x14ac:dyDescent="0.35">
      <c r="A36" s="6" t="s">
        <v>79</v>
      </c>
      <c r="C36" s="7" t="s">
        <v>47</v>
      </c>
      <c r="D36" s="7" t="s">
        <v>48</v>
      </c>
      <c r="E36" s="7" t="s">
        <v>47</v>
      </c>
      <c r="F36" s="7" t="s">
        <v>48</v>
      </c>
      <c r="G36" s="7" t="s">
        <v>47</v>
      </c>
    </row>
    <row r="37" spans="1:7" x14ac:dyDescent="0.35">
      <c r="A37" s="6" t="s">
        <v>80</v>
      </c>
      <c r="C37" s="7" t="s">
        <v>47</v>
      </c>
      <c r="D37" s="7" t="s">
        <v>48</v>
      </c>
      <c r="E37" s="7" t="s">
        <v>47</v>
      </c>
      <c r="F37" s="7" t="s">
        <v>48</v>
      </c>
      <c r="G37" s="7" t="s">
        <v>47</v>
      </c>
    </row>
    <row r="38" spans="1:7" x14ac:dyDescent="0.35">
      <c r="A38" s="6" t="s">
        <v>81</v>
      </c>
      <c r="C38" s="7" t="s">
        <v>47</v>
      </c>
      <c r="D38" s="7" t="s">
        <v>48</v>
      </c>
      <c r="E38" s="7" t="s">
        <v>47</v>
      </c>
      <c r="F38" s="7" t="s">
        <v>48</v>
      </c>
      <c r="G38" s="7" t="s">
        <v>47</v>
      </c>
    </row>
    <row r="39" spans="1:7" x14ac:dyDescent="0.35">
      <c r="A39" s="6" t="s">
        <v>82</v>
      </c>
      <c r="C39" s="7" t="s">
        <v>49</v>
      </c>
      <c r="D39" s="7" t="s">
        <v>49</v>
      </c>
      <c r="E39" s="7" t="s">
        <v>49</v>
      </c>
      <c r="F39" s="7" t="s">
        <v>49</v>
      </c>
      <c r="G39" s="7" t="s">
        <v>49</v>
      </c>
    </row>
    <row r="40" spans="1:7" x14ac:dyDescent="0.35">
      <c r="A40" s="6"/>
    </row>
    <row r="41" spans="1:7" x14ac:dyDescent="0.35">
      <c r="A41" s="6"/>
    </row>
    <row r="42" spans="1:7" x14ac:dyDescent="0.35">
      <c r="A42" s="8" t="s">
        <v>83</v>
      </c>
    </row>
    <row r="43" spans="1:7" x14ac:dyDescent="0.35">
      <c r="A43" s="6" t="s">
        <v>84</v>
      </c>
      <c r="C43" s="7" t="s">
        <v>47</v>
      </c>
      <c r="D43" s="7" t="s">
        <v>48</v>
      </c>
      <c r="E43" s="7" t="s">
        <v>47</v>
      </c>
      <c r="F43" s="7" t="s">
        <v>48</v>
      </c>
      <c r="G43" s="7" t="s">
        <v>47</v>
      </c>
    </row>
    <row r="44" spans="1:7" x14ac:dyDescent="0.35">
      <c r="A44" s="6" t="s">
        <v>85</v>
      </c>
      <c r="C44" s="7" t="s">
        <v>47</v>
      </c>
      <c r="D44" s="7" t="s">
        <v>48</v>
      </c>
      <c r="E44" s="7" t="s">
        <v>47</v>
      </c>
      <c r="F44" s="7" t="s">
        <v>48</v>
      </c>
      <c r="G44" s="7" t="s">
        <v>47</v>
      </c>
    </row>
    <row r="45" spans="1:7" x14ac:dyDescent="0.35">
      <c r="A45" s="6" t="s">
        <v>86</v>
      </c>
      <c r="C45" s="7" t="s">
        <v>49</v>
      </c>
      <c r="D45" s="7" t="s">
        <v>49</v>
      </c>
      <c r="E45" s="7" t="s">
        <v>49</v>
      </c>
      <c r="F45" s="7" t="s">
        <v>49</v>
      </c>
      <c r="G45" s="7" t="s">
        <v>49</v>
      </c>
    </row>
    <row r="46" spans="1:7" ht="29" x14ac:dyDescent="0.35">
      <c r="A46" s="6" t="s">
        <v>87</v>
      </c>
      <c r="C46" s="7" t="s">
        <v>49</v>
      </c>
      <c r="D46" s="7" t="s">
        <v>49</v>
      </c>
      <c r="E46" s="7" t="s">
        <v>49</v>
      </c>
      <c r="F46" s="7" t="s">
        <v>49</v>
      </c>
      <c r="G46" s="7" t="s">
        <v>49</v>
      </c>
    </row>
    <row r="47" spans="1:7" x14ac:dyDescent="0.35">
      <c r="A47" s="6" t="s">
        <v>88</v>
      </c>
      <c r="C47" s="7" t="s">
        <v>47</v>
      </c>
      <c r="D47" s="7" t="s">
        <v>48</v>
      </c>
      <c r="E47" s="7" t="s">
        <v>47</v>
      </c>
      <c r="F47" s="7" t="s">
        <v>48</v>
      </c>
      <c r="G47" s="7" t="s">
        <v>47</v>
      </c>
    </row>
    <row r="48" spans="1:7" x14ac:dyDescent="0.35">
      <c r="A48" s="6" t="s">
        <v>89</v>
      </c>
      <c r="C48" s="7" t="s">
        <v>47</v>
      </c>
      <c r="D48" s="7" t="s">
        <v>48</v>
      </c>
      <c r="E48" s="7" t="s">
        <v>47</v>
      </c>
      <c r="F48" s="7" t="s">
        <v>48</v>
      </c>
      <c r="G48" s="7" t="s">
        <v>47</v>
      </c>
    </row>
    <row r="49" spans="1:7" x14ac:dyDescent="0.35">
      <c r="A49" s="10" t="s">
        <v>113</v>
      </c>
    </row>
    <row r="50" spans="1:7" x14ac:dyDescent="0.35">
      <c r="A50" s="10" t="s">
        <v>114</v>
      </c>
    </row>
    <row r="51" spans="1:7" x14ac:dyDescent="0.35">
      <c r="A51" s="10" t="s">
        <v>115</v>
      </c>
    </row>
    <row r="52" spans="1:7" x14ac:dyDescent="0.35">
      <c r="A52" s="13"/>
    </row>
    <row r="53" spans="1:7" x14ac:dyDescent="0.35">
      <c r="A53" s="13"/>
    </row>
    <row r="54" spans="1:7" x14ac:dyDescent="0.35">
      <c r="A54" s="12" t="s">
        <v>90</v>
      </c>
    </row>
    <row r="55" spans="1:7" x14ac:dyDescent="0.35">
      <c r="A55" s="13" t="s">
        <v>91</v>
      </c>
      <c r="C55" s="9" t="s">
        <v>106</v>
      </c>
      <c r="D55">
        <v>2</v>
      </c>
      <c r="E55">
        <v>3</v>
      </c>
      <c r="F55">
        <v>3</v>
      </c>
      <c r="G55">
        <v>4</v>
      </c>
    </row>
    <row r="56" spans="1:7" x14ac:dyDescent="0.35">
      <c r="A56" s="13" t="s">
        <v>93</v>
      </c>
      <c r="C56" s="7" t="s">
        <v>47</v>
      </c>
      <c r="D56" s="7" t="s">
        <v>48</v>
      </c>
      <c r="E56" s="7" t="s">
        <v>47</v>
      </c>
      <c r="F56" s="7" t="s">
        <v>48</v>
      </c>
      <c r="G56" s="7" t="s">
        <v>47</v>
      </c>
    </row>
    <row r="57" spans="1:7" x14ac:dyDescent="0.35">
      <c r="A57" s="13" t="s">
        <v>92</v>
      </c>
      <c r="C57" s="7" t="s">
        <v>49</v>
      </c>
      <c r="D57" s="7" t="s">
        <v>49</v>
      </c>
      <c r="E57" s="7" t="s">
        <v>49</v>
      </c>
      <c r="F57" s="7" t="s">
        <v>49</v>
      </c>
      <c r="G57" s="7" t="s">
        <v>49</v>
      </c>
    </row>
    <row r="58" spans="1:7" x14ac:dyDescent="0.35">
      <c r="A58" s="13" t="s">
        <v>94</v>
      </c>
      <c r="C58" s="7" t="s">
        <v>49</v>
      </c>
      <c r="D58" s="7" t="s">
        <v>49</v>
      </c>
      <c r="E58" s="7" t="s">
        <v>49</v>
      </c>
      <c r="F58" s="7" t="s">
        <v>49</v>
      </c>
      <c r="G58" s="7" t="s">
        <v>49</v>
      </c>
    </row>
    <row r="59" spans="1:7" x14ac:dyDescent="0.35">
      <c r="A59" s="13" t="s">
        <v>95</v>
      </c>
      <c r="C59" s="7" t="s">
        <v>49</v>
      </c>
      <c r="D59" s="7" t="s">
        <v>49</v>
      </c>
      <c r="E59" s="7" t="s">
        <v>49</v>
      </c>
      <c r="F59" s="7" t="s">
        <v>49</v>
      </c>
      <c r="G59" s="7" t="s">
        <v>49</v>
      </c>
    </row>
    <row r="60" spans="1:7" x14ac:dyDescent="0.35">
      <c r="A60" s="13" t="s">
        <v>96</v>
      </c>
      <c r="C60" s="7" t="s">
        <v>47</v>
      </c>
      <c r="D60" s="7" t="s">
        <v>48</v>
      </c>
      <c r="E60" s="7" t="s">
        <v>47</v>
      </c>
      <c r="F60" s="7" t="s">
        <v>48</v>
      </c>
      <c r="G60" s="7" t="s">
        <v>47</v>
      </c>
    </row>
    <row r="61" spans="1:7" x14ac:dyDescent="0.35">
      <c r="A61" s="13" t="s">
        <v>97</v>
      </c>
      <c r="C61" s="7" t="s">
        <v>49</v>
      </c>
      <c r="D61" s="7" t="s">
        <v>49</v>
      </c>
      <c r="E61" s="7" t="s">
        <v>49</v>
      </c>
      <c r="F61" s="7" t="s">
        <v>49</v>
      </c>
      <c r="G61" s="7" t="s">
        <v>49</v>
      </c>
    </row>
    <row r="62" spans="1:7" x14ac:dyDescent="0.35">
      <c r="A62" s="13" t="s">
        <v>98</v>
      </c>
      <c r="C62" s="7" t="s">
        <v>49</v>
      </c>
      <c r="D62" s="7" t="s">
        <v>49</v>
      </c>
      <c r="E62" s="7" t="s">
        <v>49</v>
      </c>
      <c r="F62" s="7" t="s">
        <v>49</v>
      </c>
      <c r="G62" s="7" t="s">
        <v>49</v>
      </c>
    </row>
    <row r="63" spans="1:7" x14ac:dyDescent="0.35">
      <c r="A63" s="13"/>
    </row>
    <row r="64" spans="1:7" x14ac:dyDescent="0.35">
      <c r="A64" s="13"/>
    </row>
    <row r="65" spans="1:7" x14ac:dyDescent="0.35">
      <c r="A65" s="12" t="s">
        <v>99</v>
      </c>
    </row>
    <row r="66" spans="1:7" x14ac:dyDescent="0.35">
      <c r="A66" s="13" t="s">
        <v>100</v>
      </c>
      <c r="C66" s="7" t="s">
        <v>47</v>
      </c>
      <c r="D66" s="7" t="s">
        <v>48</v>
      </c>
      <c r="E66" s="7" t="s">
        <v>47</v>
      </c>
      <c r="F66" s="7" t="s">
        <v>48</v>
      </c>
      <c r="G66" s="7" t="s">
        <v>47</v>
      </c>
    </row>
    <row r="67" spans="1:7" x14ac:dyDescent="0.35">
      <c r="A67" s="13" t="s">
        <v>101</v>
      </c>
      <c r="C67" s="7" t="s">
        <v>47</v>
      </c>
      <c r="D67" s="7" t="s">
        <v>48</v>
      </c>
      <c r="E67" s="7" t="s">
        <v>47</v>
      </c>
      <c r="F67" s="7" t="s">
        <v>48</v>
      </c>
      <c r="G67" s="7" t="s">
        <v>47</v>
      </c>
    </row>
    <row r="68" spans="1:7" x14ac:dyDescent="0.35">
      <c r="A68" s="13" t="s">
        <v>105</v>
      </c>
      <c r="C68" s="7" t="s">
        <v>47</v>
      </c>
      <c r="D68" s="7" t="s">
        <v>48</v>
      </c>
      <c r="E68" s="7" t="s">
        <v>47</v>
      </c>
      <c r="F68" s="7" t="s">
        <v>48</v>
      </c>
      <c r="G68" s="7" t="s">
        <v>47</v>
      </c>
    </row>
    <row r="69" spans="1:7" x14ac:dyDescent="0.35">
      <c r="A69" s="13" t="s">
        <v>102</v>
      </c>
      <c r="C69" s="7" t="s">
        <v>47</v>
      </c>
      <c r="D69" s="7" t="s">
        <v>48</v>
      </c>
      <c r="E69" s="7" t="s">
        <v>47</v>
      </c>
      <c r="F69" s="7" t="s">
        <v>48</v>
      </c>
      <c r="G69" s="7" t="s">
        <v>47</v>
      </c>
    </row>
    <row r="70" spans="1:7" x14ac:dyDescent="0.35">
      <c r="A70" s="13" t="s">
        <v>103</v>
      </c>
      <c r="C70" s="7" t="s">
        <v>49</v>
      </c>
      <c r="D70" s="7" t="s">
        <v>49</v>
      </c>
      <c r="E70" s="7" t="s">
        <v>49</v>
      </c>
      <c r="F70" s="7" t="s">
        <v>49</v>
      </c>
      <c r="G70" s="7" t="s">
        <v>49</v>
      </c>
    </row>
    <row r="71" spans="1:7" x14ac:dyDescent="0.35">
      <c r="A71" s="13" t="s">
        <v>104</v>
      </c>
      <c r="C71" s="7" t="s">
        <v>49</v>
      </c>
      <c r="D71" s="7" t="s">
        <v>49</v>
      </c>
      <c r="E71" s="7" t="s">
        <v>49</v>
      </c>
      <c r="F71" s="7" t="s">
        <v>49</v>
      </c>
      <c r="G71" s="7" t="s">
        <v>49</v>
      </c>
    </row>
    <row r="72" spans="1:7" x14ac:dyDescent="0.35">
      <c r="A72" s="10" t="s">
        <v>116</v>
      </c>
    </row>
    <row r="73" spans="1:7" x14ac:dyDescent="0.35">
      <c r="A73" s="13"/>
    </row>
    <row r="74" spans="1:7" x14ac:dyDescent="0.35">
      <c r="A74" s="12" t="s">
        <v>107</v>
      </c>
    </row>
    <row r="75" spans="1:7" x14ac:dyDescent="0.35">
      <c r="A75" s="13" t="s">
        <v>108</v>
      </c>
    </row>
    <row r="76" spans="1:7" x14ac:dyDescent="0.35">
      <c r="A76" s="13" t="s">
        <v>109</v>
      </c>
    </row>
    <row r="77" spans="1:7" x14ac:dyDescent="0.35">
      <c r="A77" s="13" t="s">
        <v>110</v>
      </c>
    </row>
    <row r="78" spans="1:7" x14ac:dyDescent="0.35">
      <c r="A78" s="13" t="s">
        <v>111</v>
      </c>
    </row>
    <row r="79" spans="1:7" x14ac:dyDescent="0.35">
      <c r="A79" s="13" t="s">
        <v>112</v>
      </c>
    </row>
    <row r="80" spans="1:7" ht="29" x14ac:dyDescent="0.35">
      <c r="A80" s="10" t="s">
        <v>117</v>
      </c>
    </row>
    <row r="83" spans="1:1" x14ac:dyDescent="0.35">
      <c r="A83" s="13"/>
    </row>
    <row r="84" spans="1:1" x14ac:dyDescent="0.35">
      <c r="A84" s="13"/>
    </row>
    <row r="85" spans="1:1" x14ac:dyDescent="0.35">
      <c r="A85" s="13"/>
    </row>
    <row r="86" spans="1:1" x14ac:dyDescent="0.35">
      <c r="A86" s="13"/>
    </row>
    <row r="87" spans="1:1" x14ac:dyDescent="0.35">
      <c r="A87" s="13"/>
    </row>
    <row r="88" spans="1:1" x14ac:dyDescent="0.35">
      <c r="A88" s="13"/>
    </row>
    <row r="89" spans="1:1" x14ac:dyDescent="0.35">
      <c r="A89" s="13"/>
    </row>
    <row r="90" spans="1:1" x14ac:dyDescent="0.35">
      <c r="A90" s="13"/>
    </row>
    <row r="91" spans="1:1" x14ac:dyDescent="0.35">
      <c r="A91" s="13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Fahrwiderstände</vt:lpstr>
      <vt:lpstr>Antrieb</vt:lpstr>
      <vt:lpstr>Nebenverbraucher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Luther</dc:creator>
  <cp:lastModifiedBy>Tim Luther</cp:lastModifiedBy>
  <dcterms:created xsi:type="dcterms:W3CDTF">2015-06-05T18:19:34Z</dcterms:created>
  <dcterms:modified xsi:type="dcterms:W3CDTF">2026-03-12T07:38:53Z</dcterms:modified>
</cp:coreProperties>
</file>
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Sonntag mit Nachtverkehr\"/>
    </mc:Choice>
  </mc:AlternateContent>
  <xr:revisionPtr revIDLastSave="0" documentId="13_ncr:1_{78EC582D-7D99-4ECA-AB5F-9732303129E1}" xr6:coauthVersionLast="47" xr6:coauthVersionMax="47" xr10:uidLastSave="{00000000-0000-0000-0000-000000000000}"/>
  <bookViews>
    <workbookView xWindow="-120" yWindow="-120" windowWidth="29040" windowHeight="17640" tabRatio="753" xr2:uid="{00000000-000D-0000-FFFF-FFFF00000000}"/>
  </bookViews>
  <sheets>
    <sheet name="Kurs 21 (VGG)" sheetId="176" r:id="rId1"/>
    <sheet name="Muster" sheetId="167" r:id="rId2"/>
    <sheet name="Kopf" sheetId="6" r:id="rId3"/>
    <sheet name="mdv" sheetId="175" r:id="rId4"/>
    <sheet name="Daten" sheetId="174" r:id="rId5"/>
  </sheets>
  <functionGroups builtInGroupCount="19"/>
  <definedNames>
    <definedName name="DatenBereich">Daten!$A$1:$BH$351</definedName>
    <definedName name="Dienstnr" localSheetId="0">'Kurs 21 (VGG)'!$A$1</definedName>
    <definedName name="Dienstnr">Muster!$A$1</definedName>
    <definedName name="DienstText" localSheetId="0">'Kurs 21 (VGG)'!$U$1</definedName>
    <definedName name="DienstText">Muster!$U$1</definedName>
    <definedName name="FzgTyp" localSheetId="0">'Kurs 21 (VGG)'!$A$3</definedName>
    <definedName name="FzgTyp">Muster!$A$3</definedName>
    <definedName name="GueltigAb">Kopf!$B$2</definedName>
    <definedName name="Kopf" localSheetId="0">'Kurs 21 (VGG)'!$A$1:$AD$3</definedName>
    <definedName name="Kopf">Muster!$A$1:$AD$3</definedName>
    <definedName name="Kurs" localSheetId="0">'Kurs 21 (VGG)'!$B$2</definedName>
    <definedName name="Kurs">Muster!$B$2</definedName>
    <definedName name="Linie" localSheetId="0">'Kurs 21 (VGG)'!$A$2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21 (VGG)'!$D$1</definedName>
    <definedName name="Titel1">Muster!$D$1</definedName>
    <definedName name="Titel2" localSheetId="0">'Kurs 21 (VGG)'!$D$2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75" i="176" l="1"/>
  <c r="AA3" i="176"/>
  <c r="AA3" i="167"/>
</calcChain>
</file>

<file path=xl/sharedStrings.xml><?xml version="1.0" encoding="utf-8"?>
<sst xmlns="http://schemas.openxmlformats.org/spreadsheetml/2006/main" count="1121" uniqueCount="204">
  <si>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</si>
  <si>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</si>
  <si>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</si>
  <si>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</si>
  <si>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</si>
  <si>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</si>
  <si>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</si>
  <si>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</si>
  <si>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</si>
  <si>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</si>
  <si>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</si>
  <si>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</si>
  <si>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</si>
  <si>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</si>
  <si>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</si>
  <si>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</si>
  <si>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</si>
  <si>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</si>
  <si>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</si>
  <si>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</si>
  <si>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</si>
  <si>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</si>
  <si>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</si>
  <si>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</si>
  <si>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</si>
  <si>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</si>
  <si>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</si>
  <si>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</si>
  <si>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</si>
  <si>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</si>
  <si>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</si>
  <si>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</si>
  <si>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</si>
  <si>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</si>
  <si>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</si>
  <si>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</si>
  <si>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</si>
  <si>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</si>
  <si>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</si>
  <si>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</si>
  <si>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</si>
  <si>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</si>
  <si>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</si>
  <si>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</si>
  <si>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</si>
  <si>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</si>
  <si>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</si>
  <si>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</si>
  <si>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</si>
  <si>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</si>
  <si>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</si>
  <si>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</si>
  <si>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</si>
  <si>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</si>
  <si>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</si>
  <si>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</si>
  <si>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Sonntag mit Nachtverkehr#</t>
  </si>
  <si>
    <t>25.12.2022</t>
  </si>
  <si>
    <t>Jahresfahrplan 2023</t>
  </si>
  <si>
    <t>So Nachtverkehr</t>
  </si>
  <si>
    <t>DpVGG</t>
  </si>
  <si>
    <t>Depot VGG</t>
  </si>
  <si>
    <t xml:space="preserve">MIDI   </t>
  </si>
  <si>
    <t xml:space="preserve">Midi-Bus                                 </t>
  </si>
  <si>
    <t>Bickenbach Bahnhof</t>
  </si>
  <si>
    <t>02BE1_</t>
  </si>
  <si>
    <t>ab</t>
  </si>
  <si>
    <t>Bickenbach Pfungstädter Straße</t>
  </si>
  <si>
    <t>Bickenbach Bürgerhaus</t>
  </si>
  <si>
    <t>Seeheim Gewerbegebiet</t>
  </si>
  <si>
    <t>Seeheim Tannenstraße</t>
  </si>
  <si>
    <t>Seeheim Im Bangert</t>
  </si>
  <si>
    <t>Seeheim Neues Rathaus</t>
  </si>
  <si>
    <t>Seeheim Altes Rathaus</t>
  </si>
  <si>
    <t>Ober-Beerbach Eberstädter Str.</t>
  </si>
  <si>
    <t>Ob.-Beerbach Ernsth. Str.</t>
  </si>
  <si>
    <t>Nd.-Beerbach Quergasse</t>
  </si>
  <si>
    <t>Nieder-Beerbach Untergasse</t>
  </si>
  <si>
    <t>Nd.-Beerbach Am Wingertsberg</t>
  </si>
  <si>
    <t>Nieder-Beerbach Burgweg</t>
  </si>
  <si>
    <t>Nieder-Beerbach Waldmühle</t>
  </si>
  <si>
    <t>Nd.-Beerbach Haus Burgwald</t>
  </si>
  <si>
    <t>Eberst. Frankenbergers Mühle</t>
  </si>
  <si>
    <t>Eberstadt Kinderheim</t>
  </si>
  <si>
    <t>Eberstadt Kühler Grund</t>
  </si>
  <si>
    <t>Eberstadt Kaisermühle</t>
  </si>
  <si>
    <t>Eberstadt Schwimmbad</t>
  </si>
  <si>
    <t>Eberstadt Heinrich-Delp-Straße</t>
  </si>
  <si>
    <t>Eberstadt Wartehalle</t>
  </si>
  <si>
    <t>an</t>
  </si>
  <si>
    <t>-</t>
  </si>
  <si>
    <t>Bickenbach Hartenauer Straße</t>
  </si>
  <si>
    <t>0208N_</t>
  </si>
  <si>
    <t>Jugenheim Ludwigstraße</t>
  </si>
  <si>
    <t>Jugenheim Gutenbergstraße</t>
  </si>
  <si>
    <t>Bickenbach August-Bebel-Straße</t>
  </si>
  <si>
    <t>Bickenbach Berliner Straße</t>
  </si>
  <si>
    <t>Bickenbach Hügelstraße</t>
  </si>
  <si>
    <t>Alsbach Beuneweg</t>
  </si>
  <si>
    <t>Bus</t>
  </si>
  <si>
    <t>Alsbach Ortsmitte</t>
  </si>
  <si>
    <t>Alsbach Rathaus</t>
  </si>
  <si>
    <t>Alsbach Am Hinkelstein</t>
  </si>
  <si>
    <t>Alsbach Hähnlein-Alsbach Bf</t>
  </si>
  <si>
    <t>Alsbach Brücke</t>
  </si>
  <si>
    <t>Alsbach Rheinstraße</t>
  </si>
  <si>
    <t>Hähnlein Waage</t>
  </si>
  <si>
    <t>Hähnlein Neue Schule</t>
  </si>
  <si>
    <t>Bickenbach Mitte</t>
  </si>
  <si>
    <t>DpSchü</t>
  </si>
  <si>
    <t>Depot Schüßler</t>
  </si>
  <si>
    <t>02BE2_</t>
  </si>
  <si>
    <t>Alsbach In der Pfarrtanne</t>
  </si>
  <si>
    <t>Sonntag mit Nachtverkehr</t>
  </si>
  <si>
    <t>Ausfahren nach Bickenbach Bahnhof   Route-&gt; (101)</t>
  </si>
  <si>
    <t>BE1-21   Route &gt;</t>
  </si>
  <si>
    <t>Linie BE1 (750)</t>
  </si>
  <si>
    <t>Kurs 21</t>
  </si>
  <si>
    <t>( 1)</t>
  </si>
  <si>
    <t>Bickenbach Bahnhof,1</t>
  </si>
  <si>
    <t>Bickenbach Pfungstädter Straße,1</t>
  </si>
  <si>
    <t>Bickenbach Bürgerhaus,2</t>
  </si>
  <si>
    <t>Seeheim Gewerbegebiet,1</t>
  </si>
  <si>
    <t>Seeheim Tannenstraße,1</t>
  </si>
  <si>
    <t>Seeheim Im Bangert,1</t>
  </si>
  <si>
    <t>Seeheim Neues Rathaus,3</t>
  </si>
  <si>
    <t>Seeheim Altes Rathaus,1</t>
  </si>
  <si>
    <t>Ober-Beerbach Eberstädter Str.,2</t>
  </si>
  <si>
    <t>Ob.-Beerbach Ernsth. Str.,1</t>
  </si>
  <si>
    <t>Ober-Beerbach Eberstädter Str.,1</t>
  </si>
  <si>
    <t>Nd.-Beerbach Quergasse,1</t>
  </si>
  <si>
    <t>Nieder-Beerbach Untergasse,1</t>
  </si>
  <si>
    <t>Nd.-Beerbach Am Wingertsberg,1</t>
  </si>
  <si>
    <t>Nieder-Beerbach Burgweg,1</t>
  </si>
  <si>
    <t>Nieder-Beerbach Waldmühle,1</t>
  </si>
  <si>
    <t>Nd.-Beerbach Haus Burgwald,1</t>
  </si>
  <si>
    <t>Eberst. Frankenbergers Mühle,1</t>
  </si>
  <si>
    <t>Eberstadt Kinderheim,1</t>
  </si>
  <si>
    <t>Eberstadt Kühler Grund,3</t>
  </si>
  <si>
    <t>Eberstadt Kühler Grund,1</t>
  </si>
  <si>
    <t>Eberstadt Kaisermühle,1</t>
  </si>
  <si>
    <t>Eberstadt Schwimmbad,1</t>
  </si>
  <si>
    <t>Eberstadt Heinrich-Delp-Straße,1</t>
  </si>
  <si>
    <t>Eberstadt Wartehalle,3</t>
  </si>
  <si>
    <t>( 2)</t>
  </si>
  <si>
    <t>BE1-21  Route &gt;</t>
  </si>
  <si>
    <t>*</t>
  </si>
  <si>
    <t>Eberstadt Heinrich-Delp-Straße,2</t>
  </si>
  <si>
    <t>Eberstadt Schwimmbad,2</t>
  </si>
  <si>
    <t>Eberstadt Kaisermühle,2</t>
  </si>
  <si>
    <t>Eberstadt Kühler Grund,2</t>
  </si>
  <si>
    <t>Eberstadt Kühler Grund,4</t>
  </si>
  <si>
    <t>Eberstadt Kinderheim,2</t>
  </si>
  <si>
    <t>Eberst. Frankenbergers Mühle,2</t>
  </si>
  <si>
    <t>Nd.-Beerbach Haus Burgwald,2</t>
  </si>
  <si>
    <t>Nieder-Beerbach Waldmühle,2</t>
  </si>
  <si>
    <t>Nieder-Beerbach Burgweg,2</t>
  </si>
  <si>
    <t>Nd.-Beerbach Am Wingertsberg,2</t>
  </si>
  <si>
    <t>Nieder-Beerbach Untergasse,2</t>
  </si>
  <si>
    <t>Nd.-Beerbach Quergasse,2</t>
  </si>
  <si>
    <t>Seeheim Altes Rathaus,2</t>
  </si>
  <si>
    <t>Seeheim Neues Rathaus,4</t>
  </si>
  <si>
    <t>Seeheim Im Bangert,2</t>
  </si>
  <si>
    <t>Seeheim Tannenstraße,2</t>
  </si>
  <si>
    <t>Seeheim Gewerbegebiet,2</t>
  </si>
  <si>
    <t>Bickenbach Bürgerhaus,1</t>
  </si>
  <si>
    <t>Bickenbach Hartenauer Straße,11</t>
  </si>
  <si>
    <t>8N-21   Route &gt;</t>
  </si>
  <si>
    <t>( 131)</t>
  </si>
  <si>
    <t>Jugenheim Ludwigstraße,6</t>
  </si>
  <si>
    <t>Jugenheim Gutenbergstraße,1</t>
  </si>
  <si>
    <t>Bickenbach August-Bebel-Straße,2</t>
  </si>
  <si>
    <t>Bickenbach Berliner Straße,2</t>
  </si>
  <si>
    <t>Bickenbach Hügelstraße,2</t>
  </si>
  <si>
    <t>Alsbach Beuneweg,3</t>
  </si>
  <si>
    <t>Alsbach Ortsmitte,1</t>
  </si>
  <si>
    <t>Alsbach Rathaus,2</t>
  </si>
  <si>
    <t>Alsbach Am Hinkelstein,3</t>
  </si>
  <si>
    <t>Alsbach Hähnlein-Alsbach Bf,2</t>
  </si>
  <si>
    <t>Alsbach Brücke,2</t>
  </si>
  <si>
    <t>Alsbach Rheinstraße,2</t>
  </si>
  <si>
    <t>Hähnlein Waage,2</t>
  </si>
  <si>
    <t>Hähnlein Neue Schule,1</t>
  </si>
  <si>
    <t>( 136)</t>
  </si>
  <si>
    <t>8N-21  Route &gt;</t>
  </si>
  <si>
    <t>Hähnlein Waage,1</t>
  </si>
  <si>
    <t>Alsbach Rheinstraße,1</t>
  </si>
  <si>
    <t>Alsbach Brücke,1</t>
  </si>
  <si>
    <t>Alsbach Hähnlein-Alsbach Bf,1</t>
  </si>
  <si>
    <t>Bickenbach Mitte,2</t>
  </si>
  <si>
    <t>Jugenheim Ludwigstraße,7</t>
  </si>
  <si>
    <t>Einfahren nach Depot VGG Route-&gt; (102)</t>
  </si>
  <si>
    <t>VGG</t>
  </si>
  <si>
    <t># = Anschluss mit der Straßenbahn von Darmstadt beachten.</t>
  </si>
  <si>
    <t>Seite 1</t>
  </si>
  <si>
    <t>Seite 2</t>
  </si>
  <si>
    <t>* = Weiterfahrt siehe Rückseite.</t>
  </si>
  <si>
    <t>*23:35</t>
  </si>
  <si>
    <t>%23:35</t>
  </si>
  <si>
    <t>% = 23:35 Uhr LEERFAHRT nach Jugenheim Ludwigstraße, 01:55 Uhr weiter nach Kursbuch.</t>
  </si>
  <si>
    <t>^ = 02:34 Uhr WENDEFAHRT über Seeheim Schuldorf.</t>
  </si>
  <si>
    <t>#01:55</t>
  </si>
  <si>
    <t>#02:55</t>
  </si>
  <si>
    <t>^02:34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</si>
</sst>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6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b/>
      <sz val="12"/>
      <color theme="0"/>
      <name val="Arial"/>
      <family val="2"/>
    </font>
    <font>
      <b/>
      <sz val="9"/>
      <color theme="0"/>
      <name val="Arial"/>
      <family val="2"/>
    </font>
    <font>
      <sz val="10"/>
      <color theme="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59999389629810485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111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8" fillId="7" borderId="15" xfId="0" applyFont="1" applyFill="1" applyBorder="1" applyAlignment="1"/>
    <xf numFmtId="0" fontId="13" fillId="7" borderId="20" xfId="0" applyFont="1" applyFill="1" applyBorder="1" applyAlignment="1">
      <alignment horizontal="left"/>
    </xf>
    <xf numFmtId="0" fontId="13" fillId="7" borderId="0" xfId="0" applyFont="1" applyFill="1" applyBorder="1" applyAlignment="1">
      <alignment horizontal="left"/>
    </xf>
    <xf numFmtId="0" fontId="8" fillId="7" borderId="0" xfId="0" applyFont="1" applyFill="1" applyBorder="1" applyAlignment="1"/>
    <xf numFmtId="0" fontId="15" fillId="7" borderId="0" xfId="0" applyFont="1" applyFill="1" applyBorder="1" applyAlignment="1">
      <alignment horizontal="right"/>
    </xf>
    <xf numFmtId="0" fontId="8" fillId="7" borderId="18" xfId="0" applyFont="1" applyFill="1" applyBorder="1" applyAlignment="1">
      <alignment horizontal="left"/>
    </xf>
    <xf numFmtId="49" fontId="15" fillId="7" borderId="2" xfId="0" applyNumberFormat="1" applyFont="1" applyFill="1" applyBorder="1" applyAlignment="1"/>
    <xf numFmtId="0" fontId="13" fillId="7" borderId="2" xfId="0" applyFont="1" applyFill="1" applyBorder="1" applyAlignment="1"/>
    <xf numFmtId="0" fontId="15" fillId="7" borderId="2" xfId="0" applyFont="1" applyFill="1" applyBorder="1" applyAlignment="1">
      <alignment horizontal="right"/>
    </xf>
    <xf numFmtId="20" fontId="2" fillId="21" borderId="27" xfId="0" applyNumberFormat="1" applyFont="1" applyFill="1" applyBorder="1" applyAlignment="1">
      <alignment horizontal="center" vertical="center"/>
    </xf>
    <xf numFmtId="0" fontId="12" fillId="21" borderId="0" xfId="0" applyFont="1" applyFill="1" applyAlignment="1">
      <alignment vertical="center"/>
    </xf>
    <xf numFmtId="0" fontId="12" fillId="21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8" fillId="7" borderId="2" xfId="0" applyFont="1" applyFill="1" applyBorder="1" applyAlignment="1">
      <alignment horizontal="center"/>
    </xf>
    <xf numFmtId="0" fontId="8" fillId="7" borderId="2" xfId="0" applyFont="1" applyFill="1" applyBorder="1" applyAlignment="1">
      <alignment horizontal="right"/>
    </xf>
    <xf numFmtId="14" fontId="8" fillId="7" borderId="2" xfId="0" applyNumberFormat="1" applyFont="1" applyFill="1" applyBorder="1" applyAlignment="1">
      <alignment horizontal="right"/>
    </xf>
    <xf numFmtId="14" fontId="15" fillId="7" borderId="2" xfId="0" applyNumberFormat="1" applyFont="1" applyFill="1" applyBorder="1" applyAlignment="1">
      <alignment horizontal="right"/>
    </xf>
    <xf numFmtId="0" fontId="13" fillId="7" borderId="1" xfId="1" applyFont="1" applyFill="1" applyBorder="1" applyAlignment="1">
      <alignment horizontal="left" vertical="center"/>
    </xf>
    <xf numFmtId="0" fontId="13" fillId="7" borderId="15" xfId="1" applyFont="1" applyFill="1" applyBorder="1" applyAlignment="1">
      <alignment horizontal="left" vertical="center"/>
    </xf>
    <xf numFmtId="0" fontId="13" fillId="7" borderId="15" xfId="0" applyFont="1" applyFill="1" applyBorder="1" applyAlignment="1">
      <alignment horizontal="center"/>
    </xf>
    <xf numFmtId="49" fontId="8" fillId="7" borderId="15" xfId="0" applyNumberFormat="1" applyFont="1" applyFill="1" applyBorder="1" applyAlignment="1">
      <alignment horizontal="right"/>
    </xf>
    <xf numFmtId="0" fontId="14" fillId="7" borderId="0" xfId="0" applyFont="1" applyFill="1" applyBorder="1" applyAlignment="1">
      <alignment horizontal="center"/>
    </xf>
    <xf numFmtId="0" fontId="13" fillId="7" borderId="0" xfId="0" applyFont="1" applyFill="1" applyBorder="1" applyAlignment="1">
      <alignment horizontal="center"/>
    </xf>
    <xf numFmtId="0" fontId="8" fillId="7" borderId="0" xfId="0" applyFont="1" applyFill="1" applyBorder="1" applyAlignment="1">
      <alignment horizontal="lef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20" fontId="2" fillId="9" borderId="27" xfId="0" applyNumberFormat="1" applyFont="1" applyFill="1" applyBorder="1" applyAlignment="1">
      <alignment horizontal="center" vertical="center"/>
    </xf>
    <xf numFmtId="0" fontId="12" fillId="9" borderId="0" xfId="0" applyFont="1" applyFill="1" applyAlignment="1">
      <alignment horizontal="left" vertical="center"/>
    </xf>
    <xf numFmtId="0" fontId="2" fillId="9" borderId="0" xfId="0" applyFont="1" applyFill="1" applyAlignment="1">
      <alignment horizontal="center" vertical="center"/>
    </xf>
    <xf numFmtId="20" fontId="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left" vertical="center"/>
    </xf>
    <xf numFmtId="0" fontId="12" fillId="22" borderId="0" xfId="0" applyFont="1" applyFill="1" applyAlignment="1">
      <alignment vertical="center"/>
    </xf>
    <xf numFmtId="0" fontId="2" fillId="22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20" fontId="2" fillId="22" borderId="27" xfId="0" applyNumberFormat="1" applyFont="1" applyFill="1" applyBorder="1" applyAlignment="1">
      <alignment horizontal="center" vertical="center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73F7B-F6EA-45F2-B87A-FCEACCFF16B3}">
  <sheetPr codeName="Sheet2"/>
  <dimension ref="A1:AJ1998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4" t="s">
        <v>192</v>
      </c>
      <c r="B1" s="85"/>
      <c r="C1" s="67"/>
      <c r="D1" s="86" t="s">
        <v>113</v>
      </c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7" t="s">
        <v>192</v>
      </c>
      <c r="V1" s="87"/>
      <c r="W1" s="87"/>
      <c r="X1" s="87"/>
      <c r="Y1" s="87"/>
      <c r="Z1" s="87"/>
      <c r="AA1" s="87"/>
      <c r="AB1" s="87"/>
      <c r="AC1" s="87"/>
      <c r="AD1" s="26"/>
      <c r="AE1" s="27"/>
      <c r="AF1" s="27"/>
    </row>
    <row r="2" spans="1:36" s="28" customFormat="1" ht="15.75" customHeight="1">
      <c r="A2" s="68" t="s">
        <v>116</v>
      </c>
      <c r="B2" s="69" t="s">
        <v>117</v>
      </c>
      <c r="C2" s="70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 t="s">
        <v>194</v>
      </c>
      <c r="V2" s="89"/>
      <c r="W2" s="89"/>
      <c r="X2" s="89"/>
      <c r="Y2" s="89"/>
      <c r="Z2" s="71"/>
      <c r="AA2" s="90"/>
      <c r="AB2" s="90"/>
      <c r="AC2" s="90"/>
      <c r="AD2" s="31"/>
      <c r="AE2" s="27"/>
      <c r="AF2" s="27"/>
    </row>
    <row r="3" spans="1:36" s="28" customFormat="1" ht="15.75" customHeight="1" thickBot="1">
      <c r="A3" s="72" t="s">
        <v>62</v>
      </c>
      <c r="B3" s="73"/>
      <c r="C3" s="74"/>
      <c r="D3" s="80" t="s">
        <v>53</v>
      </c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1" t="s">
        <v>3</v>
      </c>
      <c r="V3" s="81"/>
      <c r="W3" s="81"/>
      <c r="X3" s="81"/>
      <c r="Y3" s="81"/>
      <c r="Z3" s="75"/>
      <c r="AA3" s="82" t="str">
        <f>GueltigAb</f>
        <v>25.12.2022</v>
      </c>
      <c r="AB3" s="83"/>
      <c r="AC3" s="8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0.69652777777777775</v>
      </c>
      <c r="D5" s="44"/>
      <c r="E5" s="46" t="s">
        <v>114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115</v>
      </c>
      <c r="B7" s="51"/>
      <c r="C7" s="55" t="s">
        <v>118</v>
      </c>
      <c r="D7" s="51"/>
      <c r="E7" s="55" t="s">
        <v>118</v>
      </c>
      <c r="F7" s="51"/>
      <c r="G7" s="55" t="s">
        <v>118</v>
      </c>
      <c r="H7" s="51"/>
      <c r="I7" s="55" t="s">
        <v>118</v>
      </c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119</v>
      </c>
      <c r="B8" s="23"/>
      <c r="C8" s="58">
        <v>0.71388888888888891</v>
      </c>
      <c r="D8" s="23"/>
      <c r="E8" s="58">
        <v>0.79722222222222217</v>
      </c>
      <c r="F8" s="23"/>
      <c r="G8" s="58">
        <v>0.88055555555555554</v>
      </c>
      <c r="H8" s="23"/>
      <c r="I8" s="58">
        <v>0.95347222222222217</v>
      </c>
      <c r="J8" s="23"/>
      <c r="K8" s="59"/>
      <c r="L8" s="23"/>
      <c r="M8" s="59"/>
      <c r="N8" s="23"/>
      <c r="O8" s="59"/>
      <c r="P8" s="23"/>
      <c r="Q8" s="59"/>
      <c r="R8" s="23"/>
      <c r="S8" s="59"/>
      <c r="T8" s="23"/>
      <c r="U8" s="59"/>
      <c r="V8" s="23"/>
      <c r="W8" s="59"/>
      <c r="X8" s="23"/>
      <c r="Y8" s="59"/>
      <c r="Z8" s="23"/>
      <c r="AA8" s="59"/>
      <c r="AB8" s="23"/>
      <c r="AC8" s="59"/>
      <c r="AD8" s="57"/>
      <c r="AE8" s="21"/>
    </row>
    <row r="9" spans="1:36" s="20" customFormat="1" ht="11.25" customHeight="1">
      <c r="A9" s="50" t="s">
        <v>120</v>
      </c>
      <c r="B9" s="23"/>
      <c r="C9" s="58">
        <v>0.71527777777777779</v>
      </c>
      <c r="D9" s="23"/>
      <c r="E9" s="58">
        <v>0.79861111111111116</v>
      </c>
      <c r="F9" s="23"/>
      <c r="G9" s="58">
        <v>0.88194444444444453</v>
      </c>
      <c r="H9" s="23"/>
      <c r="I9" s="58">
        <v>0.95486111111111116</v>
      </c>
      <c r="J9" s="23"/>
      <c r="K9" s="59"/>
      <c r="L9" s="23"/>
      <c r="M9" s="59"/>
      <c r="N9" s="23"/>
      <c r="O9" s="59"/>
      <c r="P9" s="23"/>
      <c r="Q9" s="59"/>
      <c r="R9" s="23"/>
      <c r="S9" s="59"/>
      <c r="T9" s="23"/>
      <c r="U9" s="59"/>
      <c r="V9" s="23"/>
      <c r="W9" s="59"/>
      <c r="X9" s="23"/>
      <c r="Y9" s="59"/>
      <c r="Z9" s="23"/>
      <c r="AA9" s="59"/>
      <c r="AB9" s="23"/>
      <c r="AC9" s="59"/>
      <c r="AD9" s="57"/>
      <c r="AE9" s="21"/>
    </row>
    <row r="10" spans="1:36" s="20" customFormat="1" ht="11.25" customHeight="1">
      <c r="A10" s="50" t="s">
        <v>121</v>
      </c>
      <c r="B10" s="23"/>
      <c r="C10" s="58">
        <v>0.71597222222222223</v>
      </c>
      <c r="D10" s="23"/>
      <c r="E10" s="58">
        <v>0.7993055555555556</v>
      </c>
      <c r="F10" s="23"/>
      <c r="G10" s="58">
        <v>0.88263888888888886</v>
      </c>
      <c r="H10" s="23"/>
      <c r="I10" s="58">
        <v>0.9555555555555556</v>
      </c>
      <c r="J10" s="23"/>
      <c r="K10" s="59"/>
      <c r="L10" s="23"/>
      <c r="M10" s="59"/>
      <c r="N10" s="23"/>
      <c r="O10" s="59"/>
      <c r="P10" s="23"/>
      <c r="Q10" s="59"/>
      <c r="R10" s="23"/>
      <c r="S10" s="59"/>
      <c r="T10" s="23"/>
      <c r="U10" s="59"/>
      <c r="V10" s="23"/>
      <c r="W10" s="59"/>
      <c r="X10" s="23"/>
      <c r="Y10" s="59"/>
      <c r="Z10" s="23"/>
      <c r="AA10" s="59"/>
      <c r="AB10" s="23"/>
      <c r="AC10" s="59"/>
      <c r="AD10" s="57"/>
      <c r="AE10" s="21"/>
    </row>
    <row r="11" spans="1:36" s="20" customFormat="1" ht="11.25" customHeight="1">
      <c r="A11" s="50" t="s">
        <v>122</v>
      </c>
      <c r="B11" s="23"/>
      <c r="C11" s="58">
        <v>0.72083333333333333</v>
      </c>
      <c r="D11" s="23"/>
      <c r="E11" s="58">
        <v>0.8041666666666667</v>
      </c>
      <c r="F11" s="23"/>
      <c r="G11" s="58">
        <v>0.88750000000000007</v>
      </c>
      <c r="H11" s="23"/>
      <c r="I11" s="58">
        <v>0.9604166666666667</v>
      </c>
      <c r="J11" s="23"/>
      <c r="K11" s="59"/>
      <c r="L11" s="23"/>
      <c r="M11" s="59"/>
      <c r="N11" s="23"/>
      <c r="O11" s="59"/>
      <c r="P11" s="23"/>
      <c r="Q11" s="59"/>
      <c r="R11" s="23"/>
      <c r="S11" s="59"/>
      <c r="T11" s="23"/>
      <c r="U11" s="59"/>
      <c r="V11" s="23"/>
      <c r="W11" s="59"/>
      <c r="X11" s="23"/>
      <c r="Y11" s="59"/>
      <c r="Z11" s="23"/>
      <c r="AA11" s="59"/>
      <c r="AB11" s="23"/>
      <c r="AC11" s="59"/>
      <c r="AD11" s="57"/>
      <c r="AE11" s="21"/>
      <c r="AJ11" s="6"/>
    </row>
    <row r="12" spans="1:36" s="20" customFormat="1" ht="11.25" customHeight="1">
      <c r="A12" s="50" t="s">
        <v>123</v>
      </c>
      <c r="B12" s="23"/>
      <c r="C12" s="58">
        <v>0.72152777777777777</v>
      </c>
      <c r="D12" s="23"/>
      <c r="E12" s="58">
        <v>0.80486111111111114</v>
      </c>
      <c r="F12" s="23"/>
      <c r="G12" s="58">
        <v>0.8881944444444444</v>
      </c>
      <c r="H12" s="23"/>
      <c r="I12" s="58">
        <v>0.96111111111111114</v>
      </c>
      <c r="J12" s="23"/>
      <c r="K12" s="59"/>
      <c r="L12" s="23"/>
      <c r="M12" s="59"/>
      <c r="N12" s="23"/>
      <c r="O12" s="59"/>
      <c r="P12" s="23"/>
      <c r="Q12" s="59"/>
      <c r="R12" s="23"/>
      <c r="S12" s="59"/>
      <c r="T12" s="23"/>
      <c r="U12" s="59"/>
      <c r="V12" s="23"/>
      <c r="W12" s="59"/>
      <c r="X12" s="23"/>
      <c r="Y12" s="59"/>
      <c r="Z12" s="23"/>
      <c r="AA12" s="59"/>
      <c r="AB12" s="23"/>
      <c r="AC12" s="59"/>
      <c r="AD12" s="57"/>
      <c r="AE12" s="21"/>
    </row>
    <row r="13" spans="1:36" s="20" customFormat="1" ht="11.25" customHeight="1">
      <c r="A13" s="50" t="s">
        <v>124</v>
      </c>
      <c r="B13" s="23"/>
      <c r="C13" s="58">
        <v>0.72222222222222221</v>
      </c>
      <c r="D13" s="23"/>
      <c r="E13" s="58">
        <v>0.80555555555555547</v>
      </c>
      <c r="F13" s="23"/>
      <c r="G13" s="58">
        <v>0.88888888888888884</v>
      </c>
      <c r="H13" s="23"/>
      <c r="I13" s="58">
        <v>0.96180555555555547</v>
      </c>
      <c r="J13" s="23"/>
      <c r="K13" s="59"/>
      <c r="L13" s="23"/>
      <c r="M13" s="59"/>
      <c r="N13" s="23"/>
      <c r="O13" s="59"/>
      <c r="P13" s="23"/>
      <c r="Q13" s="59"/>
      <c r="R13" s="23"/>
      <c r="S13" s="59"/>
      <c r="T13" s="23"/>
      <c r="U13" s="59"/>
      <c r="V13" s="23"/>
      <c r="W13" s="59"/>
      <c r="X13" s="23"/>
      <c r="Y13" s="59"/>
      <c r="Z13" s="23"/>
      <c r="AA13" s="59"/>
      <c r="AB13" s="23"/>
      <c r="AC13" s="59"/>
      <c r="AD13" s="57"/>
      <c r="AE13" s="21"/>
    </row>
    <row r="14" spans="1:36" s="20" customFormat="1" ht="11.25" customHeight="1">
      <c r="A14" s="50" t="s">
        <v>125</v>
      </c>
      <c r="B14" s="23"/>
      <c r="C14" s="58">
        <v>0.72361111111111109</v>
      </c>
      <c r="D14" s="23"/>
      <c r="E14" s="58">
        <v>0.80694444444444446</v>
      </c>
      <c r="F14" s="23"/>
      <c r="G14" s="58">
        <v>0.89027777777777783</v>
      </c>
      <c r="H14" s="23"/>
      <c r="I14" s="58">
        <v>0.96319444444444446</v>
      </c>
      <c r="J14" s="23"/>
      <c r="K14" s="59"/>
      <c r="L14" s="23"/>
      <c r="M14" s="59"/>
      <c r="N14" s="23"/>
      <c r="O14" s="59"/>
      <c r="P14" s="23"/>
      <c r="Q14" s="59"/>
      <c r="R14" s="23"/>
      <c r="S14" s="59"/>
      <c r="T14" s="23"/>
      <c r="U14" s="59"/>
      <c r="V14" s="23"/>
      <c r="W14" s="59"/>
      <c r="X14" s="23"/>
      <c r="Y14" s="59"/>
      <c r="Z14" s="23"/>
      <c r="AA14" s="59"/>
      <c r="AB14" s="23"/>
      <c r="AC14" s="59"/>
      <c r="AD14" s="57"/>
      <c r="AE14" s="21"/>
    </row>
    <row r="15" spans="1:36" s="20" customFormat="1" ht="11.25" customHeight="1">
      <c r="A15" s="50" t="s">
        <v>126</v>
      </c>
      <c r="B15" s="23"/>
      <c r="C15" s="58">
        <v>0.72499999999999998</v>
      </c>
      <c r="D15" s="23"/>
      <c r="E15" s="58">
        <v>0.80833333333333324</v>
      </c>
      <c r="F15" s="23"/>
      <c r="G15" s="58">
        <v>0.89166666666666661</v>
      </c>
      <c r="H15" s="23"/>
      <c r="I15" s="58">
        <v>0.96458333333333324</v>
      </c>
      <c r="J15" s="23"/>
      <c r="K15" s="59"/>
      <c r="L15" s="23"/>
      <c r="M15" s="60"/>
      <c r="N15" s="23"/>
      <c r="O15" s="59"/>
      <c r="P15" s="23"/>
      <c r="Q15" s="59"/>
      <c r="R15" s="23"/>
      <c r="S15" s="59"/>
      <c r="T15" s="23"/>
      <c r="U15" s="59"/>
      <c r="V15" s="23"/>
      <c r="W15" s="59"/>
      <c r="X15" s="23"/>
      <c r="Y15" s="59"/>
      <c r="Z15" s="23"/>
      <c r="AA15" s="59"/>
      <c r="AB15" s="23"/>
      <c r="AC15" s="59"/>
      <c r="AD15" s="57"/>
      <c r="AE15" s="21"/>
    </row>
    <row r="16" spans="1:36" s="20" customFormat="1" ht="11.25" customHeight="1">
      <c r="A16" s="50" t="s">
        <v>127</v>
      </c>
      <c r="B16" s="23"/>
      <c r="C16" s="58">
        <v>0.72777777777777775</v>
      </c>
      <c r="D16" s="23"/>
      <c r="E16" s="58">
        <v>0.81111111111111101</v>
      </c>
      <c r="F16" s="23"/>
      <c r="G16" s="58">
        <v>0.89444444444444438</v>
      </c>
      <c r="H16" s="23"/>
      <c r="I16" s="58">
        <v>0.96736111111111101</v>
      </c>
      <c r="J16" s="23"/>
      <c r="K16" s="59"/>
      <c r="L16" s="23"/>
      <c r="M16" s="59"/>
      <c r="N16" s="23"/>
      <c r="O16" s="59"/>
      <c r="P16" s="23"/>
      <c r="Q16" s="59"/>
      <c r="R16" s="23"/>
      <c r="S16" s="59"/>
      <c r="T16" s="23"/>
      <c r="U16" s="59"/>
      <c r="V16" s="23"/>
      <c r="W16" s="59"/>
      <c r="X16" s="23"/>
      <c r="Y16" s="59"/>
      <c r="Z16" s="23"/>
      <c r="AA16" s="59"/>
      <c r="AB16" s="23"/>
      <c r="AC16" s="59"/>
      <c r="AD16" s="57"/>
      <c r="AE16" s="21"/>
    </row>
    <row r="17" spans="1:31" s="20" customFormat="1" ht="11.25" customHeight="1">
      <c r="A17" s="50" t="s">
        <v>128</v>
      </c>
      <c r="B17" s="23"/>
      <c r="C17" s="58">
        <v>0.72916666666666663</v>
      </c>
      <c r="D17" s="23"/>
      <c r="E17" s="58">
        <v>0.8125</v>
      </c>
      <c r="F17" s="23"/>
      <c r="G17" s="58">
        <v>0.89583333333333337</v>
      </c>
      <c r="H17" s="23"/>
      <c r="I17" s="58">
        <v>0.96875</v>
      </c>
      <c r="J17" s="23"/>
      <c r="K17" s="59"/>
      <c r="L17" s="23"/>
      <c r="M17" s="59"/>
      <c r="N17" s="23"/>
      <c r="O17" s="59"/>
      <c r="P17" s="23"/>
      <c r="Q17" s="59"/>
      <c r="R17" s="23"/>
      <c r="S17" s="59"/>
      <c r="T17" s="23"/>
      <c r="U17" s="59"/>
      <c r="V17" s="23"/>
      <c r="W17" s="59"/>
      <c r="X17" s="23"/>
      <c r="Y17" s="59"/>
      <c r="Z17" s="23"/>
      <c r="AA17" s="59"/>
      <c r="AB17" s="23"/>
      <c r="AC17" s="59"/>
      <c r="AD17" s="57"/>
      <c r="AE17" s="21"/>
    </row>
    <row r="18" spans="1:31" s="20" customFormat="1" ht="11.25" customHeight="1">
      <c r="A18" s="50" t="s">
        <v>129</v>
      </c>
      <c r="B18" s="23"/>
      <c r="C18" s="58">
        <v>0.73055555555555562</v>
      </c>
      <c r="D18" s="23"/>
      <c r="E18" s="58">
        <v>0.81388888888888899</v>
      </c>
      <c r="F18" s="23"/>
      <c r="G18" s="58">
        <v>0.89722222222222225</v>
      </c>
      <c r="H18" s="23"/>
      <c r="I18" s="58">
        <v>0.97013888888888899</v>
      </c>
      <c r="J18" s="23"/>
      <c r="K18" s="59"/>
      <c r="L18" s="23"/>
      <c r="M18" s="59"/>
      <c r="N18" s="23"/>
      <c r="O18" s="59"/>
      <c r="P18" s="23"/>
      <c r="Q18" s="59"/>
      <c r="R18" s="23"/>
      <c r="S18" s="59"/>
      <c r="T18" s="23"/>
      <c r="U18" s="59"/>
      <c r="V18" s="23"/>
      <c r="W18" s="59"/>
      <c r="X18" s="23"/>
      <c r="Y18" s="59"/>
      <c r="Z18" s="23"/>
      <c r="AA18" s="59"/>
      <c r="AB18" s="23"/>
      <c r="AC18" s="59"/>
      <c r="AD18" s="57"/>
      <c r="AE18" s="21"/>
    </row>
    <row r="19" spans="1:31" s="20" customFormat="1" ht="11.25" customHeight="1">
      <c r="A19" s="50" t="s">
        <v>130</v>
      </c>
      <c r="B19" s="23"/>
      <c r="C19" s="58">
        <v>0.73333333333333339</v>
      </c>
      <c r="D19" s="23"/>
      <c r="E19" s="58">
        <v>0.81666666666666676</v>
      </c>
      <c r="F19" s="23"/>
      <c r="G19" s="58">
        <v>0.9</v>
      </c>
      <c r="H19" s="23"/>
      <c r="I19" s="58">
        <v>0.97291666666666676</v>
      </c>
      <c r="J19" s="23"/>
      <c r="K19" s="59"/>
      <c r="L19" s="23"/>
      <c r="M19" s="59"/>
      <c r="N19" s="23"/>
      <c r="O19" s="59"/>
      <c r="P19" s="23"/>
      <c r="Q19" s="59"/>
      <c r="R19" s="23"/>
      <c r="S19" s="59"/>
      <c r="T19" s="23"/>
      <c r="U19" s="59"/>
      <c r="V19" s="23"/>
      <c r="W19" s="59"/>
      <c r="X19" s="23"/>
      <c r="Y19" s="59"/>
      <c r="Z19" s="23"/>
      <c r="AA19" s="59"/>
      <c r="AB19" s="23"/>
      <c r="AC19" s="59"/>
      <c r="AD19" s="57"/>
      <c r="AE19" s="21"/>
    </row>
    <row r="20" spans="1:31" s="20" customFormat="1" ht="11.25" customHeight="1">
      <c r="A20" s="50" t="s">
        <v>131</v>
      </c>
      <c r="B20" s="23"/>
      <c r="C20" s="58">
        <v>0.73333333333333339</v>
      </c>
      <c r="D20" s="23"/>
      <c r="E20" s="58">
        <v>0.81666666666666676</v>
      </c>
      <c r="F20" s="23"/>
      <c r="G20" s="58">
        <v>0.9</v>
      </c>
      <c r="H20" s="23"/>
      <c r="I20" s="58">
        <v>0.97291666666666676</v>
      </c>
      <c r="J20" s="23"/>
      <c r="K20" s="59"/>
      <c r="L20" s="23"/>
      <c r="M20" s="59"/>
      <c r="N20" s="23"/>
      <c r="O20" s="59"/>
      <c r="P20" s="23"/>
      <c r="Q20" s="59"/>
      <c r="R20" s="23"/>
      <c r="S20" s="59"/>
      <c r="T20" s="23"/>
      <c r="U20" s="59"/>
      <c r="V20" s="23"/>
      <c r="W20" s="59"/>
      <c r="X20" s="23"/>
      <c r="Y20" s="59"/>
      <c r="Z20" s="23"/>
      <c r="AA20" s="59"/>
      <c r="AB20" s="23"/>
      <c r="AC20" s="59"/>
      <c r="AD20" s="57"/>
      <c r="AE20" s="21"/>
    </row>
    <row r="21" spans="1:31" s="20" customFormat="1" ht="11.25" customHeight="1">
      <c r="A21" s="50" t="s">
        <v>132</v>
      </c>
      <c r="B21" s="23"/>
      <c r="C21" s="58">
        <v>0.73402777777777783</v>
      </c>
      <c r="D21" s="23"/>
      <c r="E21" s="58">
        <v>0.81736111111111109</v>
      </c>
      <c r="F21" s="23"/>
      <c r="G21" s="58">
        <v>0.90069444444444446</v>
      </c>
      <c r="H21" s="23"/>
      <c r="I21" s="58">
        <v>0.97361111111111109</v>
      </c>
      <c r="J21" s="23"/>
      <c r="K21" s="59"/>
      <c r="L21" s="23"/>
      <c r="M21" s="59"/>
      <c r="N21" s="23"/>
      <c r="O21" s="59"/>
      <c r="P21" s="23"/>
      <c r="Q21" s="59"/>
      <c r="R21" s="23"/>
      <c r="S21" s="59"/>
      <c r="T21" s="23"/>
      <c r="U21" s="59"/>
      <c r="V21" s="23"/>
      <c r="W21" s="59"/>
      <c r="X21" s="23"/>
      <c r="Y21" s="59"/>
      <c r="Z21" s="23"/>
      <c r="AA21" s="59"/>
      <c r="AB21" s="23"/>
      <c r="AC21" s="59"/>
      <c r="AD21" s="57"/>
      <c r="AE21" s="21"/>
    </row>
    <row r="22" spans="1:31" s="20" customFormat="1" ht="11.25" customHeight="1">
      <c r="A22" s="50" t="s">
        <v>133</v>
      </c>
      <c r="B22" s="23"/>
      <c r="C22" s="58">
        <v>0.73472222222222217</v>
      </c>
      <c r="D22" s="23"/>
      <c r="E22" s="58">
        <v>0.81805555555555554</v>
      </c>
      <c r="F22" s="23"/>
      <c r="G22" s="58">
        <v>0.90138888888888891</v>
      </c>
      <c r="H22" s="23"/>
      <c r="I22" s="58">
        <v>0.97430555555555554</v>
      </c>
      <c r="J22" s="23"/>
      <c r="K22" s="59"/>
      <c r="L22" s="23"/>
      <c r="M22" s="59"/>
      <c r="N22" s="23"/>
      <c r="O22" s="59"/>
      <c r="P22" s="23"/>
      <c r="Q22" s="59"/>
      <c r="R22" s="23"/>
      <c r="S22" s="59"/>
      <c r="T22" s="23"/>
      <c r="U22" s="59"/>
      <c r="V22" s="23"/>
      <c r="W22" s="59"/>
      <c r="X22" s="23"/>
      <c r="Y22" s="59"/>
      <c r="Z22" s="23"/>
      <c r="AA22" s="59"/>
      <c r="AB22" s="23"/>
      <c r="AC22" s="59"/>
      <c r="AD22" s="57"/>
      <c r="AE22" s="21"/>
    </row>
    <row r="23" spans="1:31" s="20" customFormat="1" ht="11.25" customHeight="1">
      <c r="A23" s="50" t="s">
        <v>134</v>
      </c>
      <c r="B23" s="23"/>
      <c r="C23" s="58">
        <v>0.73541666666666661</v>
      </c>
      <c r="D23" s="23"/>
      <c r="E23" s="58">
        <v>0.81874999999999998</v>
      </c>
      <c r="F23" s="23"/>
      <c r="G23" s="58">
        <v>0.90208333333333324</v>
      </c>
      <c r="H23" s="23"/>
      <c r="I23" s="58">
        <v>0.97499999999999998</v>
      </c>
      <c r="J23" s="23"/>
      <c r="K23" s="59"/>
      <c r="L23" s="23"/>
      <c r="M23" s="59"/>
      <c r="N23" s="23"/>
      <c r="O23" s="59"/>
      <c r="P23" s="23"/>
      <c r="Q23" s="59"/>
      <c r="R23" s="23"/>
      <c r="S23" s="59"/>
      <c r="T23" s="23"/>
      <c r="U23" s="59"/>
      <c r="V23" s="23"/>
      <c r="W23" s="59"/>
      <c r="X23" s="23"/>
      <c r="Y23" s="59"/>
      <c r="Z23" s="23"/>
      <c r="AA23" s="59"/>
      <c r="AB23" s="23"/>
      <c r="AC23" s="59"/>
      <c r="AD23" s="57"/>
      <c r="AE23" s="21"/>
    </row>
    <row r="24" spans="1:31" s="20" customFormat="1" ht="11.25" customHeight="1">
      <c r="A24" s="50" t="s">
        <v>135</v>
      </c>
      <c r="B24" s="23"/>
      <c r="C24" s="58">
        <v>0.73611111111111116</v>
      </c>
      <c r="D24" s="23"/>
      <c r="E24" s="58">
        <v>0.81944444444444453</v>
      </c>
      <c r="F24" s="23"/>
      <c r="G24" s="58">
        <v>0.90277777777777779</v>
      </c>
      <c r="H24" s="23"/>
      <c r="I24" s="58">
        <v>0.97569444444444453</v>
      </c>
      <c r="J24" s="23"/>
      <c r="K24" s="59"/>
      <c r="L24" s="23"/>
      <c r="M24" s="59"/>
      <c r="N24" s="23"/>
      <c r="O24" s="59"/>
      <c r="P24" s="23"/>
      <c r="Q24" s="59"/>
      <c r="R24" s="23"/>
      <c r="S24" s="59"/>
      <c r="T24" s="23"/>
      <c r="U24" s="59"/>
      <c r="V24" s="23"/>
      <c r="W24" s="59"/>
      <c r="X24" s="23"/>
      <c r="Y24" s="59"/>
      <c r="Z24" s="23"/>
      <c r="AA24" s="59"/>
      <c r="AB24" s="23"/>
      <c r="AC24" s="59"/>
      <c r="AD24" s="57"/>
      <c r="AE24" s="21"/>
    </row>
    <row r="25" spans="1:31" s="20" customFormat="1" ht="11.25" customHeight="1">
      <c r="A25" s="50" t="s">
        <v>136</v>
      </c>
      <c r="B25" s="23"/>
      <c r="C25" s="58">
        <v>0.73611111111111116</v>
      </c>
      <c r="D25" s="23"/>
      <c r="E25" s="58">
        <v>0.81944444444444453</v>
      </c>
      <c r="F25" s="23"/>
      <c r="G25" s="58">
        <v>0.90277777777777779</v>
      </c>
      <c r="H25" s="23"/>
      <c r="I25" s="58">
        <v>0.97569444444444453</v>
      </c>
      <c r="J25" s="23"/>
      <c r="K25" s="59"/>
      <c r="L25" s="23"/>
      <c r="M25" s="59"/>
      <c r="N25" s="23"/>
      <c r="O25" s="59"/>
      <c r="P25" s="23"/>
      <c r="Q25" s="59"/>
      <c r="R25" s="23"/>
      <c r="S25" s="59"/>
      <c r="T25" s="23"/>
      <c r="U25" s="59"/>
      <c r="V25" s="23"/>
      <c r="W25" s="59"/>
      <c r="X25" s="23"/>
      <c r="Y25" s="59"/>
      <c r="Z25" s="23"/>
      <c r="AA25" s="59"/>
      <c r="AB25" s="23"/>
      <c r="AC25" s="59"/>
      <c r="AD25" s="57"/>
      <c r="AE25" s="21"/>
    </row>
    <row r="26" spans="1:31" s="20" customFormat="1" ht="11.25" customHeight="1">
      <c r="A26" s="50" t="s">
        <v>137</v>
      </c>
      <c r="B26" s="23"/>
      <c r="C26" s="58">
        <v>0.7368055555555556</v>
      </c>
      <c r="D26" s="23"/>
      <c r="E26" s="58">
        <v>0.82013888888888886</v>
      </c>
      <c r="F26" s="23"/>
      <c r="G26" s="58">
        <v>0.90347222222222223</v>
      </c>
      <c r="H26" s="23"/>
      <c r="I26" s="58">
        <v>0.97638888888888886</v>
      </c>
      <c r="J26" s="23"/>
      <c r="K26" s="59"/>
      <c r="L26" s="23"/>
      <c r="M26" s="59"/>
      <c r="N26" s="23"/>
      <c r="O26" s="59"/>
      <c r="P26" s="23"/>
      <c r="Q26" s="59"/>
      <c r="R26" s="23"/>
      <c r="S26" s="59"/>
      <c r="T26" s="23"/>
      <c r="U26" s="59"/>
      <c r="V26" s="23"/>
      <c r="W26" s="59"/>
      <c r="X26" s="23"/>
      <c r="Y26" s="59"/>
      <c r="Z26" s="23"/>
      <c r="AA26" s="59"/>
      <c r="AB26" s="23"/>
      <c r="AC26" s="59"/>
      <c r="AD26" s="57"/>
      <c r="AE26" s="21"/>
    </row>
    <row r="27" spans="1:31" s="20" customFormat="1" ht="11.25" customHeight="1">
      <c r="A27" s="50" t="s">
        <v>138</v>
      </c>
      <c r="B27" s="23"/>
      <c r="C27" s="58">
        <v>0.73749999999999993</v>
      </c>
      <c r="D27" s="23"/>
      <c r="E27" s="58">
        <v>0.8208333333333333</v>
      </c>
      <c r="F27" s="23"/>
      <c r="G27" s="58">
        <v>0.90416666666666667</v>
      </c>
      <c r="H27" s="23"/>
      <c r="I27" s="58">
        <v>0.9770833333333333</v>
      </c>
      <c r="J27" s="23"/>
      <c r="K27" s="59"/>
      <c r="L27" s="23"/>
      <c r="M27" s="59"/>
      <c r="N27" s="23"/>
      <c r="O27" s="59"/>
      <c r="P27" s="23"/>
      <c r="Q27" s="59"/>
      <c r="R27" s="23"/>
      <c r="S27" s="59"/>
      <c r="T27" s="23"/>
      <c r="U27" s="59"/>
      <c r="V27" s="23"/>
      <c r="W27" s="59"/>
      <c r="X27" s="23"/>
      <c r="Y27" s="59"/>
      <c r="Z27" s="23"/>
      <c r="AA27" s="59"/>
      <c r="AB27" s="23"/>
      <c r="AC27" s="59"/>
      <c r="AD27" s="57"/>
      <c r="AE27" s="21"/>
    </row>
    <row r="28" spans="1:31" s="20" customFormat="1" ht="11.25" customHeight="1">
      <c r="A28" s="50" t="s">
        <v>139</v>
      </c>
      <c r="B28" s="23"/>
      <c r="C28" s="58">
        <v>0.73819444444444438</v>
      </c>
      <c r="D28" s="23"/>
      <c r="E28" s="58">
        <v>0.82152777777777775</v>
      </c>
      <c r="F28" s="23"/>
      <c r="G28" s="58">
        <v>0.90486111111111101</v>
      </c>
      <c r="H28" s="23"/>
      <c r="I28" s="58">
        <v>0.97777777777777775</v>
      </c>
      <c r="J28" s="23"/>
      <c r="K28" s="59"/>
      <c r="L28" s="23"/>
      <c r="M28" s="59"/>
      <c r="N28" s="23"/>
      <c r="O28" s="59"/>
      <c r="P28" s="23"/>
      <c r="Q28" s="59"/>
      <c r="R28" s="23"/>
      <c r="S28" s="59"/>
      <c r="T28" s="23"/>
      <c r="U28" s="59"/>
      <c r="V28" s="23"/>
      <c r="W28" s="59"/>
      <c r="X28" s="23"/>
      <c r="Y28" s="59"/>
      <c r="Z28" s="23"/>
      <c r="AA28" s="59"/>
      <c r="AB28" s="23"/>
      <c r="AC28" s="59"/>
      <c r="AD28" s="57"/>
      <c r="AE28" s="21"/>
    </row>
    <row r="29" spans="1:31" s="20" customFormat="1" ht="11.25" customHeight="1">
      <c r="A29" s="50" t="s">
        <v>140</v>
      </c>
      <c r="B29" s="23"/>
      <c r="C29" s="58">
        <v>0.73888888888888893</v>
      </c>
      <c r="D29" s="23"/>
      <c r="E29" s="58">
        <v>0.8222222222222223</v>
      </c>
      <c r="F29" s="23"/>
      <c r="G29" s="58">
        <v>0.90555555555555556</v>
      </c>
      <c r="H29" s="23"/>
      <c r="I29" s="58">
        <v>0.9784722222222223</v>
      </c>
      <c r="J29" s="23"/>
      <c r="K29" s="59"/>
      <c r="L29" s="23"/>
      <c r="M29" s="59"/>
      <c r="N29" s="23"/>
      <c r="O29" s="59"/>
      <c r="P29" s="23"/>
      <c r="Q29" s="59"/>
      <c r="R29" s="23"/>
      <c r="S29" s="59"/>
      <c r="T29" s="23"/>
      <c r="U29" s="59"/>
      <c r="V29" s="23"/>
      <c r="W29" s="59"/>
      <c r="X29" s="23"/>
      <c r="Y29" s="59"/>
      <c r="Z29" s="23"/>
      <c r="AA29" s="59"/>
      <c r="AB29" s="23"/>
      <c r="AC29" s="59"/>
      <c r="AD29" s="57"/>
      <c r="AE29" s="21"/>
    </row>
    <row r="30" spans="1:31" s="20" customFormat="1" ht="11.25" customHeight="1">
      <c r="A30" s="50" t="s">
        <v>141</v>
      </c>
      <c r="B30" s="23"/>
      <c r="C30" s="58">
        <v>0.7402777777777777</v>
      </c>
      <c r="D30" s="23"/>
      <c r="E30" s="58">
        <v>0.82361111111111107</v>
      </c>
      <c r="F30" s="23"/>
      <c r="G30" s="58">
        <v>0.90694444444444444</v>
      </c>
      <c r="H30" s="23"/>
      <c r="I30" s="58">
        <v>0.97986111111111107</v>
      </c>
      <c r="J30" s="23"/>
      <c r="K30" s="59"/>
      <c r="L30" s="23"/>
      <c r="M30" s="59"/>
      <c r="N30" s="23"/>
      <c r="O30" s="59"/>
      <c r="P30" s="23"/>
      <c r="Q30" s="59"/>
      <c r="R30" s="23"/>
      <c r="S30" s="59"/>
      <c r="T30" s="23"/>
      <c r="U30" s="59"/>
      <c r="V30" s="23"/>
      <c r="W30" s="59"/>
      <c r="X30" s="23"/>
      <c r="Y30" s="59"/>
      <c r="Z30" s="23"/>
      <c r="AA30" s="59"/>
      <c r="AB30" s="23"/>
      <c r="AC30" s="59"/>
      <c r="AD30" s="57"/>
      <c r="AE30" s="21"/>
    </row>
    <row r="31" spans="1:31" s="20" customFormat="1" ht="11.25" customHeight="1">
      <c r="A31" s="50" t="s">
        <v>142</v>
      </c>
      <c r="B31" s="23"/>
      <c r="C31" s="58">
        <v>0.7416666666666667</v>
      </c>
      <c r="D31" s="23"/>
      <c r="E31" s="58">
        <v>0.82500000000000007</v>
      </c>
      <c r="F31" s="23"/>
      <c r="G31" s="58">
        <v>0.90833333333333333</v>
      </c>
      <c r="H31" s="23"/>
      <c r="I31" s="58">
        <v>0.98125000000000007</v>
      </c>
      <c r="J31" s="23"/>
      <c r="K31" s="59"/>
      <c r="L31" s="23"/>
      <c r="M31" s="59"/>
      <c r="N31" s="23"/>
      <c r="O31" s="59"/>
      <c r="P31" s="23"/>
      <c r="Q31" s="59"/>
      <c r="R31" s="23"/>
      <c r="S31" s="59"/>
      <c r="T31" s="23"/>
      <c r="U31" s="59"/>
      <c r="V31" s="23"/>
      <c r="W31" s="59"/>
      <c r="X31" s="23"/>
      <c r="Y31" s="59"/>
      <c r="Z31" s="23"/>
      <c r="AA31" s="59"/>
      <c r="AB31" s="23"/>
      <c r="AC31" s="59"/>
      <c r="AD31" s="57"/>
      <c r="AE31" s="21"/>
    </row>
    <row r="32" spans="1:31" s="20" customFormat="1" ht="11.25" customHeight="1">
      <c r="A32" s="50" t="s">
        <v>143</v>
      </c>
      <c r="B32" s="24"/>
      <c r="C32" s="58">
        <v>0.74305555555555547</v>
      </c>
      <c r="D32" s="24"/>
      <c r="E32" s="58">
        <v>0.82638888888888884</v>
      </c>
      <c r="F32" s="24"/>
      <c r="G32" s="58">
        <v>0.90972222222222221</v>
      </c>
      <c r="H32" s="24"/>
      <c r="I32" s="102" t="s">
        <v>197</v>
      </c>
      <c r="J32" s="24"/>
      <c r="K32" s="59"/>
      <c r="L32" s="24"/>
      <c r="M32" s="59"/>
      <c r="N32" s="24"/>
      <c r="O32" s="59"/>
      <c r="P32" s="24"/>
      <c r="Q32" s="59"/>
      <c r="R32" s="24"/>
      <c r="S32" s="59"/>
      <c r="T32" s="24"/>
      <c r="U32" s="59"/>
      <c r="V32" s="24"/>
      <c r="W32" s="59"/>
      <c r="X32" s="24"/>
      <c r="Y32" s="59"/>
      <c r="Z32" s="24"/>
      <c r="AA32" s="59"/>
      <c r="AB32" s="24"/>
      <c r="AC32" s="59"/>
      <c r="AD32" s="57"/>
      <c r="AE32" s="21"/>
    </row>
    <row r="33" spans="1:31" s="20" customFormat="1" ht="11.25" customHeight="1">
      <c r="A33" s="48" t="s">
        <v>145</v>
      </c>
      <c r="B33" s="51"/>
      <c r="C33" s="55" t="s">
        <v>144</v>
      </c>
      <c r="D33" s="51"/>
      <c r="E33" s="55" t="s">
        <v>144</v>
      </c>
      <c r="F33" s="51"/>
      <c r="G33" s="55" t="s">
        <v>144</v>
      </c>
      <c r="H33" s="51"/>
      <c r="I33" s="56"/>
      <c r="J33" s="51"/>
      <c r="K33" s="56"/>
      <c r="L33" s="51"/>
      <c r="M33" s="56"/>
      <c r="N33" s="51"/>
      <c r="O33" s="56"/>
      <c r="P33" s="51"/>
      <c r="Q33" s="56"/>
      <c r="R33" s="51"/>
      <c r="S33" s="56"/>
      <c r="T33" s="51"/>
      <c r="U33" s="56"/>
      <c r="V33" s="51"/>
      <c r="W33" s="56"/>
      <c r="X33" s="51"/>
      <c r="Y33" s="56"/>
      <c r="Z33" s="51"/>
      <c r="AA33" s="56"/>
      <c r="AB33" s="51"/>
      <c r="AC33" s="56"/>
      <c r="AD33" s="54"/>
      <c r="AE33" s="21"/>
    </row>
    <row r="34" spans="1:31" s="20" customFormat="1" ht="11.25" customHeight="1">
      <c r="A34" s="50" t="s">
        <v>143</v>
      </c>
      <c r="B34" s="23"/>
      <c r="C34" s="58">
        <v>0.75694444444444453</v>
      </c>
      <c r="D34" s="23"/>
      <c r="E34" s="58">
        <v>0.84027777777777779</v>
      </c>
      <c r="F34" s="23"/>
      <c r="G34" s="58">
        <v>0.92361111111111116</v>
      </c>
      <c r="H34" s="23"/>
      <c r="I34" s="61" t="s">
        <v>146</v>
      </c>
      <c r="J34" s="23"/>
      <c r="K34" s="59"/>
      <c r="L34" s="23"/>
      <c r="M34" s="59"/>
      <c r="N34" s="23"/>
      <c r="O34" s="59"/>
      <c r="P34" s="23"/>
      <c r="Q34" s="59"/>
      <c r="R34" s="23"/>
      <c r="S34" s="59"/>
      <c r="T34" s="23"/>
      <c r="U34" s="59"/>
      <c r="V34" s="23"/>
      <c r="W34" s="59"/>
      <c r="X34" s="23"/>
      <c r="Y34" s="59"/>
      <c r="Z34" s="23"/>
      <c r="AA34" s="59"/>
      <c r="AB34" s="23"/>
      <c r="AC34" s="59"/>
      <c r="AD34" s="57"/>
      <c r="AE34" s="21"/>
    </row>
    <row r="35" spans="1:31" s="20" customFormat="1" ht="11.25" customHeight="1">
      <c r="A35" s="50" t="s">
        <v>147</v>
      </c>
      <c r="B35" s="23"/>
      <c r="C35" s="58">
        <v>0.7583333333333333</v>
      </c>
      <c r="D35" s="23"/>
      <c r="E35" s="58">
        <v>0.84166666666666667</v>
      </c>
      <c r="F35" s="23"/>
      <c r="G35" s="58">
        <v>0.92499999999999993</v>
      </c>
      <c r="H35" s="23"/>
      <c r="I35" s="61" t="s">
        <v>146</v>
      </c>
      <c r="J35" s="23"/>
      <c r="K35" s="59"/>
      <c r="L35" s="23"/>
      <c r="M35" s="59"/>
      <c r="N35" s="23"/>
      <c r="O35" s="59"/>
      <c r="P35" s="23"/>
      <c r="Q35" s="59"/>
      <c r="R35" s="23"/>
      <c r="S35" s="59"/>
      <c r="T35" s="23"/>
      <c r="U35" s="59"/>
      <c r="V35" s="23"/>
      <c r="W35" s="59"/>
      <c r="X35" s="23"/>
      <c r="Y35" s="59"/>
      <c r="Z35" s="23"/>
      <c r="AA35" s="59"/>
      <c r="AB35" s="23"/>
      <c r="AC35" s="59"/>
      <c r="AD35" s="57"/>
      <c r="AE35" s="21"/>
    </row>
    <row r="36" spans="1:31" s="20" customFormat="1" ht="11.25" customHeight="1">
      <c r="A36" s="50" t="s">
        <v>148</v>
      </c>
      <c r="B36" s="23"/>
      <c r="C36" s="58">
        <v>0.75902777777777775</v>
      </c>
      <c r="D36" s="23"/>
      <c r="E36" s="58">
        <v>0.84236111111111101</v>
      </c>
      <c r="F36" s="23"/>
      <c r="G36" s="58">
        <v>0.92569444444444438</v>
      </c>
      <c r="H36" s="23"/>
      <c r="I36" s="61" t="s">
        <v>146</v>
      </c>
      <c r="J36" s="23"/>
      <c r="K36" s="59"/>
      <c r="L36" s="23"/>
      <c r="M36" s="59"/>
      <c r="N36" s="23"/>
      <c r="O36" s="59"/>
      <c r="P36" s="23"/>
      <c r="Q36" s="59"/>
      <c r="R36" s="23"/>
      <c r="S36" s="59"/>
      <c r="T36" s="23"/>
      <c r="U36" s="59"/>
      <c r="V36" s="23"/>
      <c r="W36" s="59"/>
      <c r="X36" s="23"/>
      <c r="Y36" s="59"/>
      <c r="Z36" s="23"/>
      <c r="AA36" s="59"/>
      <c r="AB36" s="23"/>
      <c r="AC36" s="59"/>
      <c r="AD36" s="57"/>
      <c r="AE36" s="21"/>
    </row>
    <row r="37" spans="1:31" s="20" customFormat="1" ht="11.25" customHeight="1">
      <c r="A37" s="50" t="s">
        <v>149</v>
      </c>
      <c r="B37" s="23"/>
      <c r="C37" s="58">
        <v>0.76041666666666663</v>
      </c>
      <c r="D37" s="23"/>
      <c r="E37" s="58">
        <v>0.84375</v>
      </c>
      <c r="F37" s="23"/>
      <c r="G37" s="58">
        <v>0.92708333333333337</v>
      </c>
      <c r="H37" s="23"/>
      <c r="I37" s="61" t="s">
        <v>146</v>
      </c>
      <c r="J37" s="23"/>
      <c r="K37" s="59"/>
      <c r="L37" s="23"/>
      <c r="M37" s="59"/>
      <c r="N37" s="23"/>
      <c r="O37" s="59"/>
      <c r="P37" s="23"/>
      <c r="Q37" s="59"/>
      <c r="R37" s="23"/>
      <c r="S37" s="59"/>
      <c r="T37" s="23"/>
      <c r="U37" s="59"/>
      <c r="V37" s="23"/>
      <c r="W37" s="59"/>
      <c r="X37" s="23"/>
      <c r="Y37" s="59"/>
      <c r="Z37" s="23"/>
      <c r="AA37" s="59"/>
      <c r="AB37" s="23"/>
      <c r="AC37" s="59"/>
      <c r="AD37" s="57"/>
      <c r="AE37" s="21"/>
    </row>
    <row r="38" spans="1:31" s="20" customFormat="1" ht="11.25" customHeight="1">
      <c r="A38" s="50" t="s">
        <v>150</v>
      </c>
      <c r="B38" s="23"/>
      <c r="C38" s="58">
        <v>0.76111111111111107</v>
      </c>
      <c r="D38" s="23"/>
      <c r="E38" s="58">
        <v>0.84444444444444444</v>
      </c>
      <c r="F38" s="23"/>
      <c r="G38" s="58">
        <v>0.9277777777777777</v>
      </c>
      <c r="H38" s="23"/>
      <c r="I38" s="61" t="s">
        <v>146</v>
      </c>
      <c r="J38" s="23"/>
      <c r="K38" s="59"/>
      <c r="L38" s="23"/>
      <c r="M38" s="59"/>
      <c r="N38" s="23"/>
      <c r="O38" s="59"/>
      <c r="P38" s="23"/>
      <c r="Q38" s="59"/>
      <c r="R38" s="23"/>
      <c r="S38" s="59"/>
      <c r="T38" s="23"/>
      <c r="U38" s="59"/>
      <c r="V38" s="23"/>
      <c r="W38" s="59"/>
      <c r="X38" s="23"/>
      <c r="Y38" s="59"/>
      <c r="Z38" s="23"/>
      <c r="AA38" s="59"/>
      <c r="AB38" s="23"/>
      <c r="AC38" s="59"/>
      <c r="AD38" s="57"/>
      <c r="AE38" s="21"/>
    </row>
    <row r="39" spans="1:31" s="20" customFormat="1" ht="11.25" customHeight="1">
      <c r="A39" s="50" t="s">
        <v>151</v>
      </c>
      <c r="B39" s="23"/>
      <c r="C39" s="58">
        <v>0.76111111111111107</v>
      </c>
      <c r="D39" s="23"/>
      <c r="E39" s="58">
        <v>0.84444444444444444</v>
      </c>
      <c r="F39" s="23"/>
      <c r="G39" s="58">
        <v>0.9277777777777777</v>
      </c>
      <c r="H39" s="23"/>
      <c r="I39" s="61" t="s">
        <v>146</v>
      </c>
      <c r="J39" s="23"/>
      <c r="K39" s="59"/>
      <c r="L39" s="23"/>
      <c r="M39" s="59"/>
      <c r="N39" s="23"/>
      <c r="O39" s="59"/>
      <c r="P39" s="23"/>
      <c r="Q39" s="59"/>
      <c r="R39" s="23"/>
      <c r="S39" s="59"/>
      <c r="T39" s="23"/>
      <c r="U39" s="59"/>
      <c r="V39" s="23"/>
      <c r="W39" s="59"/>
      <c r="X39" s="23"/>
      <c r="Y39" s="59"/>
      <c r="Z39" s="23"/>
      <c r="AA39" s="59"/>
      <c r="AB39" s="23"/>
      <c r="AC39" s="59"/>
      <c r="AD39" s="57"/>
      <c r="AE39" s="21"/>
    </row>
    <row r="40" spans="1:31" s="20" customFormat="1" ht="11.25" customHeight="1">
      <c r="A40" s="50" t="s">
        <v>152</v>
      </c>
      <c r="B40" s="23"/>
      <c r="C40" s="58">
        <v>0.76180555555555562</v>
      </c>
      <c r="D40" s="23"/>
      <c r="E40" s="58">
        <v>0.84513888888888899</v>
      </c>
      <c r="F40" s="23"/>
      <c r="G40" s="58">
        <v>0.92847222222222225</v>
      </c>
      <c r="H40" s="23"/>
      <c r="I40" s="61" t="s">
        <v>146</v>
      </c>
      <c r="J40" s="23"/>
      <c r="K40" s="59"/>
      <c r="L40" s="23"/>
      <c r="M40" s="59"/>
      <c r="N40" s="23"/>
      <c r="O40" s="59"/>
      <c r="P40" s="23"/>
      <c r="Q40" s="59"/>
      <c r="R40" s="23"/>
      <c r="S40" s="59"/>
      <c r="T40" s="23"/>
      <c r="U40" s="59"/>
      <c r="V40" s="23"/>
      <c r="W40" s="59"/>
      <c r="X40" s="23"/>
      <c r="Y40" s="59"/>
      <c r="Z40" s="23"/>
      <c r="AA40" s="59"/>
      <c r="AB40" s="23"/>
      <c r="AC40" s="59"/>
      <c r="AD40" s="57"/>
      <c r="AE40" s="21"/>
    </row>
    <row r="41" spans="1:31" s="20" customFormat="1" ht="11.25" customHeight="1">
      <c r="A41" s="50" t="s">
        <v>153</v>
      </c>
      <c r="B41" s="23"/>
      <c r="C41" s="58">
        <v>0.76250000000000007</v>
      </c>
      <c r="D41" s="23"/>
      <c r="E41" s="58">
        <v>0.84583333333333333</v>
      </c>
      <c r="F41" s="23"/>
      <c r="G41" s="58">
        <v>0.9291666666666667</v>
      </c>
      <c r="H41" s="23"/>
      <c r="I41" s="61" t="s">
        <v>146</v>
      </c>
      <c r="J41" s="23"/>
      <c r="K41" s="59"/>
      <c r="L41" s="23"/>
      <c r="M41" s="59"/>
      <c r="N41" s="23"/>
      <c r="O41" s="59"/>
      <c r="P41" s="23"/>
      <c r="Q41" s="59"/>
      <c r="R41" s="23"/>
      <c r="S41" s="59"/>
      <c r="T41" s="23"/>
      <c r="U41" s="59"/>
      <c r="V41" s="23"/>
      <c r="W41" s="59"/>
      <c r="X41" s="23"/>
      <c r="Y41" s="59"/>
      <c r="Z41" s="23"/>
      <c r="AA41" s="59"/>
      <c r="AB41" s="23"/>
      <c r="AC41" s="59"/>
      <c r="AD41" s="57"/>
      <c r="AE41" s="21"/>
    </row>
    <row r="42" spans="1:31" s="20" customFormat="1" ht="11.25" customHeight="1">
      <c r="A42" s="50" t="s">
        <v>154</v>
      </c>
      <c r="B42" s="23"/>
      <c r="C42" s="58">
        <v>0.7631944444444444</v>
      </c>
      <c r="D42" s="23"/>
      <c r="E42" s="58">
        <v>0.84652777777777777</v>
      </c>
      <c r="F42" s="23"/>
      <c r="G42" s="58">
        <v>0.92986111111111114</v>
      </c>
      <c r="H42" s="23"/>
      <c r="I42" s="61" t="s">
        <v>146</v>
      </c>
      <c r="J42" s="23"/>
      <c r="K42" s="59"/>
      <c r="L42" s="23"/>
      <c r="M42" s="59"/>
      <c r="N42" s="23"/>
      <c r="O42" s="59"/>
      <c r="P42" s="23"/>
      <c r="Q42" s="59"/>
      <c r="R42" s="23"/>
      <c r="S42" s="59"/>
      <c r="T42" s="23"/>
      <c r="U42" s="59"/>
      <c r="V42" s="23"/>
      <c r="W42" s="59"/>
      <c r="X42" s="23"/>
      <c r="Y42" s="59"/>
      <c r="Z42" s="23"/>
      <c r="AA42" s="59"/>
      <c r="AB42" s="23"/>
      <c r="AC42" s="59"/>
      <c r="AD42" s="57"/>
      <c r="AE42" s="21"/>
    </row>
    <row r="43" spans="1:31" s="20" customFormat="1" ht="11.25" customHeight="1">
      <c r="A43" s="50" t="s">
        <v>155</v>
      </c>
      <c r="B43" s="23"/>
      <c r="C43" s="58">
        <v>0.76388888888888884</v>
      </c>
      <c r="D43" s="23"/>
      <c r="E43" s="58">
        <v>0.84722222222222221</v>
      </c>
      <c r="F43" s="23"/>
      <c r="G43" s="58">
        <v>0.93055555555555547</v>
      </c>
      <c r="H43" s="23"/>
      <c r="I43" s="61" t="s">
        <v>146</v>
      </c>
      <c r="J43" s="23"/>
      <c r="K43" s="59"/>
      <c r="L43" s="23"/>
      <c r="M43" s="59"/>
      <c r="N43" s="23"/>
      <c r="O43" s="59"/>
      <c r="P43" s="23"/>
      <c r="Q43" s="59"/>
      <c r="R43" s="23"/>
      <c r="S43" s="59"/>
      <c r="T43" s="23"/>
      <c r="U43" s="59"/>
      <c r="V43" s="23"/>
      <c r="W43" s="59"/>
      <c r="X43" s="23"/>
      <c r="Y43" s="59"/>
      <c r="Z43" s="23"/>
      <c r="AA43" s="59"/>
      <c r="AB43" s="23"/>
      <c r="AC43" s="59"/>
      <c r="AD43" s="57"/>
      <c r="AE43" s="21"/>
    </row>
    <row r="44" spans="1:31" s="20" customFormat="1" ht="11.25" customHeight="1">
      <c r="A44" s="50" t="s">
        <v>156</v>
      </c>
      <c r="B44" s="23"/>
      <c r="C44" s="58">
        <v>0.76388888888888884</v>
      </c>
      <c r="D44" s="23"/>
      <c r="E44" s="58">
        <v>0.84722222222222221</v>
      </c>
      <c r="F44" s="23"/>
      <c r="G44" s="58">
        <v>0.93055555555555547</v>
      </c>
      <c r="H44" s="23"/>
      <c r="I44" s="61" t="s">
        <v>146</v>
      </c>
      <c r="J44" s="23"/>
      <c r="K44" s="59"/>
      <c r="L44" s="23"/>
      <c r="M44" s="59"/>
      <c r="N44" s="23"/>
      <c r="O44" s="59"/>
      <c r="P44" s="23"/>
      <c r="Q44" s="59"/>
      <c r="R44" s="23"/>
      <c r="S44" s="59"/>
      <c r="T44" s="23"/>
      <c r="U44" s="59"/>
      <c r="V44" s="23"/>
      <c r="W44" s="59"/>
      <c r="X44" s="23"/>
      <c r="Y44" s="59"/>
      <c r="Z44" s="23"/>
      <c r="AA44" s="59"/>
      <c r="AB44" s="23"/>
      <c r="AC44" s="59"/>
      <c r="AD44" s="57"/>
      <c r="AE44" s="21"/>
    </row>
    <row r="45" spans="1:31" s="20" customFormat="1" ht="11.25" customHeight="1">
      <c r="A45" s="50" t="s">
        <v>157</v>
      </c>
      <c r="B45" s="23"/>
      <c r="C45" s="58">
        <v>0.76458333333333339</v>
      </c>
      <c r="D45" s="23"/>
      <c r="E45" s="58">
        <v>0.84791666666666676</v>
      </c>
      <c r="F45" s="23"/>
      <c r="G45" s="58">
        <v>0.93125000000000002</v>
      </c>
      <c r="H45" s="23"/>
      <c r="I45" s="61" t="s">
        <v>146</v>
      </c>
      <c r="J45" s="23"/>
      <c r="K45" s="59"/>
      <c r="L45" s="23"/>
      <c r="M45" s="59"/>
      <c r="N45" s="23"/>
      <c r="O45" s="59"/>
      <c r="P45" s="23"/>
      <c r="Q45" s="59"/>
      <c r="R45" s="23"/>
      <c r="S45" s="59"/>
      <c r="T45" s="23"/>
      <c r="U45" s="59"/>
      <c r="V45" s="23"/>
      <c r="W45" s="59"/>
      <c r="X45" s="23"/>
      <c r="Y45" s="59"/>
      <c r="Z45" s="23"/>
      <c r="AA45" s="59"/>
      <c r="AB45" s="23"/>
      <c r="AC45" s="59"/>
      <c r="AD45" s="57"/>
      <c r="AE45" s="21"/>
    </row>
    <row r="46" spans="1:31" s="20" customFormat="1" ht="11.25" customHeight="1">
      <c r="A46" s="50" t="s">
        <v>158</v>
      </c>
      <c r="B46" s="23"/>
      <c r="C46" s="58">
        <v>0.76527777777777783</v>
      </c>
      <c r="D46" s="23"/>
      <c r="E46" s="58">
        <v>0.84861111111111109</v>
      </c>
      <c r="F46" s="23"/>
      <c r="G46" s="58">
        <v>0.93194444444444446</v>
      </c>
      <c r="H46" s="23"/>
      <c r="I46" s="61" t="s">
        <v>146</v>
      </c>
      <c r="J46" s="23"/>
      <c r="K46" s="59"/>
      <c r="L46" s="23"/>
      <c r="M46" s="59"/>
      <c r="N46" s="23"/>
      <c r="O46" s="59"/>
      <c r="P46" s="23"/>
      <c r="Q46" s="59"/>
      <c r="R46" s="23"/>
      <c r="S46" s="59"/>
      <c r="T46" s="23"/>
      <c r="U46" s="59"/>
      <c r="V46" s="23"/>
      <c r="W46" s="59"/>
      <c r="X46" s="23"/>
      <c r="Y46" s="59"/>
      <c r="Z46" s="23"/>
      <c r="AA46" s="59"/>
      <c r="AB46" s="23"/>
      <c r="AC46" s="59"/>
      <c r="AD46" s="57"/>
      <c r="AE46" s="21"/>
    </row>
    <row r="47" spans="1:31" s="20" customFormat="1" ht="11.25" customHeight="1">
      <c r="A47" s="50" t="s">
        <v>159</v>
      </c>
      <c r="B47" s="23"/>
      <c r="C47" s="58">
        <v>0.76597222222222217</v>
      </c>
      <c r="D47" s="23"/>
      <c r="E47" s="58">
        <v>0.84930555555555554</v>
      </c>
      <c r="F47" s="23"/>
      <c r="G47" s="58">
        <v>0.93263888888888891</v>
      </c>
      <c r="H47" s="23"/>
      <c r="I47" s="61" t="s">
        <v>146</v>
      </c>
      <c r="J47" s="23"/>
      <c r="K47" s="59"/>
      <c r="L47" s="23"/>
      <c r="M47" s="59"/>
      <c r="N47" s="23"/>
      <c r="O47" s="59"/>
      <c r="P47" s="23"/>
      <c r="Q47" s="59"/>
      <c r="R47" s="23"/>
      <c r="S47" s="59"/>
      <c r="T47" s="23"/>
      <c r="U47" s="59"/>
      <c r="V47" s="23"/>
      <c r="W47" s="59"/>
      <c r="X47" s="23"/>
      <c r="Y47" s="59"/>
      <c r="Z47" s="23"/>
      <c r="AA47" s="59"/>
      <c r="AB47" s="23"/>
      <c r="AC47" s="59"/>
      <c r="AD47" s="57"/>
      <c r="AE47" s="21"/>
    </row>
    <row r="48" spans="1:31" s="20" customFormat="1" ht="11.25" customHeight="1">
      <c r="A48" s="50" t="s">
        <v>127</v>
      </c>
      <c r="B48" s="23"/>
      <c r="C48" s="58">
        <v>0.7680555555555556</v>
      </c>
      <c r="D48" s="23"/>
      <c r="E48" s="58">
        <v>0.85138888888888886</v>
      </c>
      <c r="F48" s="23"/>
      <c r="G48" s="58">
        <v>0.93472222222222223</v>
      </c>
      <c r="H48" s="23"/>
      <c r="I48" s="61" t="s">
        <v>146</v>
      </c>
      <c r="J48" s="23"/>
      <c r="K48" s="59"/>
      <c r="L48" s="23"/>
      <c r="M48" s="59"/>
      <c r="N48" s="23"/>
      <c r="O48" s="59"/>
      <c r="P48" s="23"/>
      <c r="Q48" s="59"/>
      <c r="R48" s="23"/>
      <c r="S48" s="59"/>
      <c r="T48" s="23"/>
      <c r="U48" s="59"/>
      <c r="V48" s="23"/>
      <c r="W48" s="59"/>
      <c r="X48" s="23"/>
      <c r="Y48" s="59"/>
      <c r="Z48" s="23"/>
      <c r="AA48" s="59"/>
      <c r="AB48" s="23"/>
      <c r="AC48" s="59"/>
      <c r="AD48" s="57"/>
      <c r="AE48" s="21"/>
    </row>
    <row r="49" spans="1:32" s="20" customFormat="1" ht="11.25" customHeight="1">
      <c r="A49" s="50" t="s">
        <v>128</v>
      </c>
      <c r="B49" s="23"/>
      <c r="C49" s="58">
        <v>0.76944444444444438</v>
      </c>
      <c r="D49" s="23"/>
      <c r="E49" s="58">
        <v>0.85277777777777775</v>
      </c>
      <c r="F49" s="23"/>
      <c r="G49" s="58">
        <v>0.93611111111111101</v>
      </c>
      <c r="H49" s="23"/>
      <c r="I49" s="61" t="s">
        <v>146</v>
      </c>
      <c r="J49" s="23"/>
      <c r="K49" s="59"/>
      <c r="L49" s="23"/>
      <c r="M49" s="59"/>
      <c r="N49" s="23"/>
      <c r="O49" s="59"/>
      <c r="P49" s="23"/>
      <c r="Q49" s="59"/>
      <c r="R49" s="23"/>
      <c r="S49" s="59"/>
      <c r="T49" s="23"/>
      <c r="U49" s="59"/>
      <c r="V49" s="23"/>
      <c r="W49" s="59"/>
      <c r="X49" s="23"/>
      <c r="Y49" s="59"/>
      <c r="Z49" s="23"/>
      <c r="AA49" s="59"/>
      <c r="AB49" s="23"/>
      <c r="AC49" s="59"/>
      <c r="AD49" s="57"/>
      <c r="AE49" s="21"/>
    </row>
    <row r="50" spans="1:32" s="20" customFormat="1" ht="11.25" customHeight="1">
      <c r="A50" s="50" t="s">
        <v>129</v>
      </c>
      <c r="B50" s="23"/>
      <c r="C50" s="58">
        <v>0.77083333333333337</v>
      </c>
      <c r="D50" s="23"/>
      <c r="E50" s="58">
        <v>0.85416666666666663</v>
      </c>
      <c r="F50" s="23"/>
      <c r="G50" s="58">
        <v>0.9375</v>
      </c>
      <c r="H50" s="23"/>
      <c r="I50" s="61" t="s">
        <v>146</v>
      </c>
      <c r="J50" s="23"/>
      <c r="K50" s="59"/>
      <c r="L50" s="23"/>
      <c r="M50" s="59"/>
      <c r="N50" s="23"/>
      <c r="O50" s="59"/>
      <c r="P50" s="23"/>
      <c r="Q50" s="59"/>
      <c r="R50" s="23"/>
      <c r="S50" s="59"/>
      <c r="T50" s="23"/>
      <c r="U50" s="59"/>
      <c r="V50" s="23"/>
      <c r="W50" s="59"/>
      <c r="X50" s="23"/>
      <c r="Y50" s="59"/>
      <c r="Z50" s="23"/>
      <c r="AA50" s="59"/>
      <c r="AB50" s="23"/>
      <c r="AC50" s="59"/>
      <c r="AD50" s="57"/>
      <c r="AE50" s="21"/>
    </row>
    <row r="51" spans="1:32" s="20" customFormat="1" ht="11.25" customHeight="1">
      <c r="A51" s="50" t="s">
        <v>160</v>
      </c>
      <c r="B51" s="23"/>
      <c r="C51" s="58">
        <v>0.77361111111111114</v>
      </c>
      <c r="D51" s="23"/>
      <c r="E51" s="58">
        <v>0.8569444444444444</v>
      </c>
      <c r="F51" s="23"/>
      <c r="G51" s="58">
        <v>0.94027777777777777</v>
      </c>
      <c r="H51" s="23"/>
      <c r="I51" s="61" t="s">
        <v>146</v>
      </c>
      <c r="J51" s="23"/>
      <c r="K51" s="59"/>
      <c r="L51" s="23"/>
      <c r="M51" s="59"/>
      <c r="N51" s="23"/>
      <c r="O51" s="59"/>
      <c r="P51" s="23"/>
      <c r="Q51" s="59"/>
      <c r="R51" s="23"/>
      <c r="S51" s="59"/>
      <c r="T51" s="23"/>
      <c r="U51" s="59"/>
      <c r="V51" s="23"/>
      <c r="W51" s="59"/>
      <c r="X51" s="23"/>
      <c r="Y51" s="59"/>
      <c r="Z51" s="23"/>
      <c r="AA51" s="59"/>
      <c r="AB51" s="23"/>
      <c r="AC51" s="59"/>
      <c r="AD51" s="57"/>
      <c r="AE51" s="21"/>
    </row>
    <row r="52" spans="1:32" s="20" customFormat="1" ht="11.25" customHeight="1">
      <c r="A52" s="50" t="s">
        <v>161</v>
      </c>
      <c r="B52" s="23"/>
      <c r="C52" s="58">
        <v>0.77500000000000002</v>
      </c>
      <c r="D52" s="23"/>
      <c r="E52" s="58">
        <v>0.85833333333333339</v>
      </c>
      <c r="F52" s="23"/>
      <c r="G52" s="58">
        <v>0.94166666666666676</v>
      </c>
      <c r="H52" s="23"/>
      <c r="I52" s="61" t="s">
        <v>146</v>
      </c>
      <c r="J52" s="23"/>
      <c r="K52" s="59"/>
      <c r="L52" s="23"/>
      <c r="M52" s="59"/>
      <c r="N52" s="23"/>
      <c r="O52" s="59"/>
      <c r="P52" s="23"/>
      <c r="Q52" s="59"/>
      <c r="R52" s="23"/>
      <c r="S52" s="59"/>
      <c r="T52" s="23"/>
      <c r="U52" s="59"/>
      <c r="V52" s="23"/>
      <c r="W52" s="59"/>
      <c r="X52" s="23"/>
      <c r="Y52" s="59"/>
      <c r="Z52" s="23"/>
      <c r="AA52" s="59"/>
      <c r="AB52" s="23"/>
      <c r="AC52" s="59"/>
      <c r="AD52" s="57"/>
      <c r="AE52" s="21"/>
    </row>
    <row r="53" spans="1:32" s="20" customFormat="1" ht="11.25" customHeight="1">
      <c r="A53" s="50" t="s">
        <v>162</v>
      </c>
      <c r="B53" s="23"/>
      <c r="C53" s="58">
        <v>0.77638888888888891</v>
      </c>
      <c r="D53" s="23"/>
      <c r="E53" s="58">
        <v>0.85972222222222217</v>
      </c>
      <c r="F53" s="23"/>
      <c r="G53" s="58">
        <v>0.94305555555555554</v>
      </c>
      <c r="H53" s="23"/>
      <c r="I53" s="61" t="s">
        <v>146</v>
      </c>
      <c r="J53" s="23"/>
      <c r="K53" s="59"/>
      <c r="L53" s="23"/>
      <c r="M53" s="59"/>
      <c r="N53" s="23"/>
      <c r="O53" s="59"/>
      <c r="P53" s="23"/>
      <c r="Q53" s="59"/>
      <c r="R53" s="23"/>
      <c r="S53" s="59"/>
      <c r="T53" s="23"/>
      <c r="U53" s="59"/>
      <c r="V53" s="23"/>
      <c r="W53" s="59"/>
      <c r="X53" s="23"/>
      <c r="Y53" s="59"/>
      <c r="Z53" s="23"/>
      <c r="AA53" s="59"/>
      <c r="AB53" s="23"/>
      <c r="AC53" s="59"/>
      <c r="AD53" s="57"/>
      <c r="AE53" s="21"/>
    </row>
    <row r="54" spans="1:32" s="20" customFormat="1" ht="11.25" customHeight="1">
      <c r="A54" s="50" t="s">
        <v>163</v>
      </c>
      <c r="B54" s="23"/>
      <c r="C54" s="58">
        <v>0.77708333333333324</v>
      </c>
      <c r="D54" s="23"/>
      <c r="E54" s="58">
        <v>0.86041666666666661</v>
      </c>
      <c r="F54" s="23"/>
      <c r="G54" s="58">
        <v>0.94374999999999998</v>
      </c>
      <c r="H54" s="23"/>
      <c r="I54" s="61" t="s">
        <v>146</v>
      </c>
      <c r="J54" s="23"/>
      <c r="K54" s="59"/>
      <c r="L54" s="23"/>
      <c r="M54" s="59"/>
      <c r="N54" s="23"/>
      <c r="O54" s="59"/>
      <c r="P54" s="23"/>
      <c r="Q54" s="59"/>
      <c r="R54" s="23"/>
      <c r="S54" s="59"/>
      <c r="T54" s="23"/>
      <c r="U54" s="59"/>
      <c r="V54" s="23"/>
      <c r="W54" s="59"/>
      <c r="X54" s="23"/>
      <c r="Y54" s="59"/>
      <c r="Z54" s="23"/>
      <c r="AA54" s="59"/>
      <c r="AB54" s="23"/>
      <c r="AC54" s="59"/>
      <c r="AD54" s="57"/>
      <c r="AE54" s="21"/>
    </row>
    <row r="55" spans="1:32" s="20" customFormat="1" ht="11.25" customHeight="1">
      <c r="A55" s="50" t="s">
        <v>164</v>
      </c>
      <c r="B55" s="23"/>
      <c r="C55" s="58">
        <v>0.77777777777777779</v>
      </c>
      <c r="D55" s="23"/>
      <c r="E55" s="58">
        <v>0.86111111111111116</v>
      </c>
      <c r="F55" s="23"/>
      <c r="G55" s="58">
        <v>0.94444444444444453</v>
      </c>
      <c r="H55" s="23"/>
      <c r="I55" s="61" t="s">
        <v>146</v>
      </c>
      <c r="J55" s="23"/>
      <c r="K55" s="59"/>
      <c r="L55" s="23"/>
      <c r="M55" s="59"/>
      <c r="N55" s="23"/>
      <c r="O55" s="59"/>
      <c r="P55" s="23"/>
      <c r="Q55" s="59"/>
      <c r="R55" s="23"/>
      <c r="S55" s="59"/>
      <c r="T55" s="23"/>
      <c r="U55" s="59"/>
      <c r="V55" s="23"/>
      <c r="W55" s="59"/>
      <c r="X55" s="23"/>
      <c r="Y55" s="59"/>
      <c r="Z55" s="23"/>
      <c r="AA55" s="59"/>
      <c r="AB55" s="23"/>
      <c r="AC55" s="59"/>
      <c r="AD55" s="57"/>
      <c r="AE55" s="21"/>
    </row>
    <row r="56" spans="1:32" s="20" customFormat="1" ht="11.25" customHeight="1">
      <c r="A56" s="50" t="s">
        <v>165</v>
      </c>
      <c r="B56" s="23"/>
      <c r="C56" s="58">
        <v>0.78194444444444444</v>
      </c>
      <c r="D56" s="23"/>
      <c r="E56" s="58">
        <v>0.8652777777777777</v>
      </c>
      <c r="F56" s="23"/>
      <c r="G56" s="58">
        <v>0.94861111111111107</v>
      </c>
      <c r="H56" s="23"/>
      <c r="I56" s="61" t="s">
        <v>146</v>
      </c>
      <c r="J56" s="23"/>
      <c r="K56" s="59"/>
      <c r="L56" s="23"/>
      <c r="M56" s="59"/>
      <c r="N56" s="23"/>
      <c r="O56" s="59"/>
      <c r="P56" s="23"/>
      <c r="Q56" s="59"/>
      <c r="R56" s="23"/>
      <c r="S56" s="59"/>
      <c r="T56" s="23"/>
      <c r="U56" s="59"/>
      <c r="V56" s="23"/>
      <c r="W56" s="59"/>
      <c r="X56" s="23"/>
      <c r="Y56" s="59"/>
      <c r="Z56" s="23"/>
      <c r="AA56" s="59"/>
      <c r="AB56" s="23"/>
      <c r="AC56" s="59"/>
      <c r="AD56" s="57"/>
      <c r="AE56" s="21"/>
    </row>
    <row r="57" spans="1:32" s="20" customFormat="1" ht="11.25" customHeight="1">
      <c r="A57" s="50" t="s">
        <v>166</v>
      </c>
      <c r="B57" s="23"/>
      <c r="C57" s="58">
        <v>0.78263888888888899</v>
      </c>
      <c r="D57" s="23"/>
      <c r="E57" s="58">
        <v>0.86597222222222225</v>
      </c>
      <c r="F57" s="23"/>
      <c r="G57" s="58">
        <v>0.94930555555555562</v>
      </c>
      <c r="H57" s="23"/>
      <c r="I57" s="61" t="s">
        <v>146</v>
      </c>
      <c r="J57" s="23"/>
      <c r="K57" s="59"/>
      <c r="L57" s="23"/>
      <c r="M57" s="59"/>
      <c r="N57" s="23"/>
      <c r="O57" s="59"/>
      <c r="P57" s="23"/>
      <c r="Q57" s="59"/>
      <c r="R57" s="23"/>
      <c r="S57" s="59"/>
      <c r="T57" s="23"/>
      <c r="U57" s="59"/>
      <c r="V57" s="23"/>
      <c r="W57" s="59"/>
      <c r="X57" s="23"/>
      <c r="Y57" s="59"/>
      <c r="Z57" s="23"/>
      <c r="AA57" s="59"/>
      <c r="AB57" s="23"/>
      <c r="AC57" s="59"/>
      <c r="AD57" s="57"/>
      <c r="AE57" s="21"/>
    </row>
    <row r="58" spans="1:32" s="20" customFormat="1" ht="11.25" customHeight="1">
      <c r="A58" s="50" t="s">
        <v>119</v>
      </c>
      <c r="B58" s="23"/>
      <c r="C58" s="58">
        <v>0.78402777777777777</v>
      </c>
      <c r="D58" s="23"/>
      <c r="E58" s="58">
        <v>0.86736111111111114</v>
      </c>
      <c r="F58" s="23"/>
      <c r="G58" s="58">
        <v>0.9506944444444444</v>
      </c>
      <c r="H58" s="23"/>
      <c r="I58" s="61" t="s">
        <v>146</v>
      </c>
      <c r="J58" s="23"/>
      <c r="K58" s="59"/>
      <c r="L58" s="23"/>
      <c r="M58" s="59"/>
      <c r="N58" s="23"/>
      <c r="O58" s="59"/>
      <c r="P58" s="23"/>
      <c r="Q58" s="59"/>
      <c r="R58" s="23"/>
      <c r="S58" s="59"/>
      <c r="T58" s="23"/>
      <c r="U58" s="59"/>
      <c r="V58" s="23"/>
      <c r="W58" s="59"/>
      <c r="X58" s="23"/>
      <c r="Y58" s="59"/>
      <c r="Z58" s="23"/>
      <c r="AA58" s="59"/>
      <c r="AB58" s="23"/>
      <c r="AC58" s="59"/>
      <c r="AD58" s="57"/>
      <c r="AE58" s="21"/>
    </row>
    <row r="59" spans="1:32" s="20" customFormat="1" ht="11.25" customHeight="1">
      <c r="A59" s="44"/>
      <c r="B59" s="51"/>
      <c r="C59" s="51"/>
      <c r="D59" s="51"/>
      <c r="E59" s="51"/>
      <c r="F59" s="51"/>
      <c r="G59" s="51"/>
      <c r="H59" s="51"/>
      <c r="I59" s="51"/>
      <c r="J59" s="51"/>
      <c r="K59" s="51"/>
      <c r="L59" s="51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1"/>
      <c r="X59" s="51"/>
      <c r="Y59" s="51"/>
      <c r="Z59" s="51"/>
      <c r="AA59" s="51"/>
      <c r="AB59" s="51"/>
      <c r="AC59" s="51"/>
      <c r="AD59" s="51"/>
      <c r="AE59" s="21"/>
    </row>
    <row r="60" spans="1:32" s="20" customFormat="1" ht="11.25" customHeight="1">
      <c r="A60" s="21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1"/>
      <c r="AF60" s="21"/>
    </row>
    <row r="61" spans="1:32" s="20" customFormat="1" ht="11.25" customHeight="1">
      <c r="A61" s="103" t="s">
        <v>196</v>
      </c>
      <c r="B61" s="104"/>
      <c r="C61" s="105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1"/>
      <c r="AF61" s="21"/>
    </row>
    <row r="62" spans="1:32" s="20" customFormat="1" ht="11.25" customHeight="1">
      <c r="A62" s="21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1"/>
      <c r="AF62" s="21"/>
    </row>
    <row r="63" spans="1:32" s="20" customFormat="1" ht="11.25" customHeight="1">
      <c r="A63" s="21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1"/>
      <c r="AF63" s="21"/>
    </row>
    <row r="64" spans="1:32" s="20" customFormat="1" ht="11.25" customHeight="1">
      <c r="A64" s="21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1"/>
      <c r="AF64" s="21"/>
    </row>
    <row r="65" spans="1:32" s="20" customFormat="1" ht="11.25" customHeight="1">
      <c r="A65" s="21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1"/>
      <c r="AF65" s="21"/>
    </row>
    <row r="66" spans="1:32" s="20" customFormat="1" ht="11.25" customHeight="1">
      <c r="A66" s="21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1"/>
      <c r="AF66" s="21"/>
    </row>
    <row r="67" spans="1:32" s="20" customFormat="1" ht="11.25" customHeight="1">
      <c r="A67" s="21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1"/>
      <c r="AF67" s="21"/>
    </row>
    <row r="68" spans="1:32" s="20" customFormat="1" ht="11.25" customHeight="1">
      <c r="A68" s="21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1"/>
      <c r="AF68" s="21"/>
    </row>
    <row r="69" spans="1:32" s="20" customFormat="1" ht="11.25" customHeight="1">
      <c r="A69" s="21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1"/>
      <c r="AF69" s="21"/>
    </row>
    <row r="70" spans="1:32" s="20" customFormat="1" ht="11.25" customHeight="1">
      <c r="A70" s="21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1"/>
      <c r="AF70" s="21"/>
    </row>
    <row r="71" spans="1:32" s="20" customFormat="1" ht="11.25" customHeight="1">
      <c r="A71" s="21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1"/>
      <c r="AF71" s="21"/>
    </row>
    <row r="72" spans="1:32" s="20" customFormat="1" ht="11.25" customHeight="1" thickBot="1">
      <c r="A72" s="21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1"/>
      <c r="AF72" s="21"/>
    </row>
    <row r="73" spans="1:32" s="20" customFormat="1" ht="19.350000000000001" customHeight="1">
      <c r="A73" s="84" t="s">
        <v>192</v>
      </c>
      <c r="B73" s="85"/>
      <c r="C73" s="67"/>
      <c r="D73" s="86" t="s">
        <v>113</v>
      </c>
      <c r="E73" s="86"/>
      <c r="F73" s="86"/>
      <c r="G73" s="86"/>
      <c r="H73" s="86"/>
      <c r="I73" s="86"/>
      <c r="J73" s="86"/>
      <c r="K73" s="86"/>
      <c r="L73" s="86"/>
      <c r="M73" s="86"/>
      <c r="N73" s="86"/>
      <c r="O73" s="86"/>
      <c r="P73" s="86"/>
      <c r="Q73" s="86"/>
      <c r="R73" s="86"/>
      <c r="S73" s="86"/>
      <c r="T73" s="86"/>
      <c r="U73" s="87" t="s">
        <v>192</v>
      </c>
      <c r="V73" s="87"/>
      <c r="W73" s="87"/>
      <c r="X73" s="87"/>
      <c r="Y73" s="87"/>
      <c r="Z73" s="87"/>
      <c r="AA73" s="87"/>
      <c r="AB73" s="87"/>
      <c r="AC73" s="87"/>
      <c r="AD73" s="26"/>
      <c r="AE73" s="27"/>
      <c r="AF73" s="27"/>
    </row>
    <row r="74" spans="1:32" s="20" customFormat="1" ht="15.75" customHeight="1">
      <c r="A74" s="68" t="s">
        <v>116</v>
      </c>
      <c r="B74" s="69" t="s">
        <v>117</v>
      </c>
      <c r="C74" s="70"/>
      <c r="D74" s="88"/>
      <c r="E74" s="88"/>
      <c r="F74" s="88"/>
      <c r="G74" s="88"/>
      <c r="H74" s="88"/>
      <c r="I74" s="88"/>
      <c r="J74" s="88"/>
      <c r="K74" s="88"/>
      <c r="L74" s="88"/>
      <c r="M74" s="88"/>
      <c r="N74" s="88"/>
      <c r="O74" s="88"/>
      <c r="P74" s="88"/>
      <c r="Q74" s="88"/>
      <c r="R74" s="88"/>
      <c r="S74" s="88"/>
      <c r="T74" s="88"/>
      <c r="U74" s="89" t="s">
        <v>195</v>
      </c>
      <c r="V74" s="89"/>
      <c r="W74" s="89"/>
      <c r="X74" s="89"/>
      <c r="Y74" s="89"/>
      <c r="Z74" s="71"/>
      <c r="AA74" s="90"/>
      <c r="AB74" s="90"/>
      <c r="AC74" s="90"/>
      <c r="AD74" s="31"/>
      <c r="AE74" s="27"/>
      <c r="AF74" s="27"/>
    </row>
    <row r="75" spans="1:32" s="20" customFormat="1" ht="15.75" customHeight="1" thickBot="1">
      <c r="A75" s="72" t="s">
        <v>62</v>
      </c>
      <c r="B75" s="73"/>
      <c r="C75" s="74"/>
      <c r="D75" s="80" t="s">
        <v>53</v>
      </c>
      <c r="E75" s="80"/>
      <c r="F75" s="80"/>
      <c r="G75" s="80"/>
      <c r="H75" s="80"/>
      <c r="I75" s="80"/>
      <c r="J75" s="80"/>
      <c r="K75" s="80"/>
      <c r="L75" s="80"/>
      <c r="M75" s="80"/>
      <c r="N75" s="80"/>
      <c r="O75" s="80"/>
      <c r="P75" s="80"/>
      <c r="Q75" s="80"/>
      <c r="R75" s="80"/>
      <c r="S75" s="80"/>
      <c r="T75" s="80"/>
      <c r="U75" s="81" t="s">
        <v>3</v>
      </c>
      <c r="V75" s="81"/>
      <c r="W75" s="81"/>
      <c r="X75" s="81"/>
      <c r="Y75" s="81"/>
      <c r="Z75" s="75"/>
      <c r="AA75" s="82" t="str">
        <f>GueltigAb</f>
        <v>25.12.2022</v>
      </c>
      <c r="AB75" s="83"/>
      <c r="AC75" s="83"/>
      <c r="AD75" s="34"/>
      <c r="AE75" s="27"/>
      <c r="AF75" s="27"/>
    </row>
    <row r="76" spans="1:32" s="20" customFormat="1" ht="11.25" customHeight="1">
      <c r="A76" s="21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1"/>
    </row>
    <row r="77" spans="1:32" s="20" customFormat="1" ht="11.25" customHeight="1">
      <c r="A77" s="53" t="s">
        <v>167</v>
      </c>
      <c r="B77" s="51"/>
      <c r="C77" s="55" t="s">
        <v>168</v>
      </c>
      <c r="D77" s="51"/>
      <c r="E77" s="55" t="s">
        <v>118</v>
      </c>
      <c r="F77" s="51"/>
      <c r="G77" s="56"/>
      <c r="H77" s="51"/>
      <c r="I77" s="55" t="s">
        <v>118</v>
      </c>
      <c r="J77" s="51"/>
      <c r="K77" s="56"/>
      <c r="L77" s="51"/>
      <c r="M77" s="56"/>
      <c r="N77" s="51"/>
      <c r="O77" s="56"/>
      <c r="P77" s="51"/>
      <c r="Q77" s="56"/>
      <c r="R77" s="51"/>
      <c r="S77" s="56"/>
      <c r="T77" s="51"/>
      <c r="U77" s="56"/>
      <c r="V77" s="51"/>
      <c r="W77" s="56"/>
      <c r="X77" s="51"/>
      <c r="Y77" s="56"/>
      <c r="Z77" s="51"/>
      <c r="AA77" s="56"/>
      <c r="AB77" s="51"/>
      <c r="AC77" s="56"/>
      <c r="AD77" s="54"/>
      <c r="AE77" s="21"/>
    </row>
    <row r="78" spans="1:32" s="20" customFormat="1" ht="11.25" customHeight="1">
      <c r="A78" s="50" t="s">
        <v>143</v>
      </c>
      <c r="B78" s="23"/>
      <c r="C78" s="58" t="s">
        <v>198</v>
      </c>
      <c r="D78" s="23"/>
      <c r="E78" s="61" t="s">
        <v>146</v>
      </c>
      <c r="F78" s="23"/>
      <c r="G78" s="61" t="s">
        <v>146</v>
      </c>
      <c r="H78" s="23"/>
      <c r="I78" s="61" t="s">
        <v>146</v>
      </c>
      <c r="J78" s="23"/>
      <c r="K78" s="59"/>
      <c r="L78" s="23"/>
      <c r="M78" s="59"/>
      <c r="N78" s="23"/>
      <c r="O78" s="59"/>
      <c r="P78" s="23"/>
      <c r="Q78" s="59"/>
      <c r="R78" s="23"/>
      <c r="S78" s="59"/>
      <c r="T78" s="23"/>
      <c r="U78" s="59"/>
      <c r="V78" s="23"/>
      <c r="W78" s="59"/>
      <c r="X78" s="23"/>
      <c r="Y78" s="59"/>
      <c r="Z78" s="23"/>
      <c r="AA78" s="59"/>
      <c r="AB78" s="23"/>
      <c r="AC78" s="59"/>
      <c r="AD78" s="57"/>
      <c r="AE78" s="21"/>
    </row>
    <row r="79" spans="1:32" s="20" customFormat="1" ht="11.25" customHeight="1">
      <c r="A79" s="50" t="s">
        <v>169</v>
      </c>
      <c r="B79" s="23"/>
      <c r="C79" s="58">
        <v>0.99652777777777779</v>
      </c>
      <c r="D79" s="23"/>
      <c r="E79" s="76" t="s">
        <v>201</v>
      </c>
      <c r="F79" s="23"/>
      <c r="G79" s="59" t="s">
        <v>146</v>
      </c>
      <c r="H79" s="23"/>
      <c r="I79" s="76" t="s">
        <v>202</v>
      </c>
      <c r="J79" s="23"/>
      <c r="K79" s="59"/>
      <c r="L79" s="23"/>
      <c r="M79" s="59"/>
      <c r="N79" s="23"/>
      <c r="O79" s="59"/>
      <c r="P79" s="23"/>
      <c r="Q79" s="59"/>
      <c r="R79" s="23"/>
      <c r="S79" s="59"/>
      <c r="T79" s="23"/>
      <c r="U79" s="59"/>
      <c r="V79" s="23"/>
      <c r="W79" s="59"/>
      <c r="X79" s="23"/>
      <c r="Y79" s="59"/>
      <c r="Z79" s="23"/>
      <c r="AA79" s="59"/>
      <c r="AB79" s="23"/>
      <c r="AC79" s="59"/>
      <c r="AD79" s="57"/>
      <c r="AE79" s="21"/>
    </row>
    <row r="80" spans="1:32" s="20" customFormat="1" ht="11.25" customHeight="1">
      <c r="A80" s="50" t="s">
        <v>170</v>
      </c>
      <c r="B80" s="23"/>
      <c r="C80" s="61" t="s">
        <v>146</v>
      </c>
      <c r="D80" s="23"/>
      <c r="E80" s="58">
        <v>8.0555555555555561E-2</v>
      </c>
      <c r="F80" s="23"/>
      <c r="G80" s="59" t="s">
        <v>146</v>
      </c>
      <c r="H80" s="23"/>
      <c r="I80" s="58">
        <v>0.12222222222222223</v>
      </c>
      <c r="J80" s="23"/>
      <c r="K80" s="59"/>
      <c r="L80" s="23"/>
      <c r="M80" s="59"/>
      <c r="N80" s="23"/>
      <c r="O80" s="59"/>
      <c r="P80" s="23"/>
      <c r="Q80" s="59"/>
      <c r="R80" s="23"/>
      <c r="S80" s="59"/>
      <c r="T80" s="23"/>
      <c r="U80" s="59"/>
      <c r="V80" s="23"/>
      <c r="W80" s="59"/>
      <c r="X80" s="23"/>
      <c r="Y80" s="59"/>
      <c r="Z80" s="23"/>
      <c r="AA80" s="59"/>
      <c r="AB80" s="23"/>
      <c r="AC80" s="59"/>
      <c r="AD80" s="57"/>
      <c r="AE80" s="21"/>
    </row>
    <row r="81" spans="1:31" s="20" customFormat="1" ht="11.25" customHeight="1">
      <c r="A81" s="50" t="s">
        <v>165</v>
      </c>
      <c r="B81" s="23"/>
      <c r="C81" s="61" t="s">
        <v>146</v>
      </c>
      <c r="D81" s="23"/>
      <c r="E81" s="58">
        <v>8.2638888888888887E-2</v>
      </c>
      <c r="F81" s="23"/>
      <c r="G81" s="59" t="s">
        <v>146</v>
      </c>
      <c r="H81" s="23"/>
      <c r="I81" s="58">
        <v>0.12430555555555556</v>
      </c>
      <c r="J81" s="23"/>
      <c r="K81" s="59"/>
      <c r="L81" s="23"/>
      <c r="M81" s="59"/>
      <c r="N81" s="23"/>
      <c r="O81" s="59"/>
      <c r="P81" s="23"/>
      <c r="Q81" s="59"/>
      <c r="R81" s="23"/>
      <c r="S81" s="59"/>
      <c r="T81" s="23"/>
      <c r="U81" s="59"/>
      <c r="V81" s="23"/>
      <c r="W81" s="59"/>
      <c r="X81" s="23"/>
      <c r="Y81" s="59"/>
      <c r="Z81" s="23"/>
      <c r="AA81" s="59"/>
      <c r="AB81" s="23"/>
      <c r="AC81" s="59"/>
      <c r="AD81" s="57"/>
      <c r="AE81" s="21"/>
    </row>
    <row r="82" spans="1:31" s="20" customFormat="1" ht="11.25" customHeight="1">
      <c r="A82" s="50" t="s">
        <v>166</v>
      </c>
      <c r="B82" s="23"/>
      <c r="C82" s="61" t="s">
        <v>146</v>
      </c>
      <c r="D82" s="23"/>
      <c r="E82" s="58">
        <v>8.3333333333333329E-2</v>
      </c>
      <c r="F82" s="23"/>
      <c r="G82" s="59" t="s">
        <v>146</v>
      </c>
      <c r="H82" s="23"/>
      <c r="I82" s="58">
        <v>0.125</v>
      </c>
      <c r="J82" s="23"/>
      <c r="K82" s="59"/>
      <c r="L82" s="23"/>
      <c r="M82" s="59"/>
      <c r="N82" s="23"/>
      <c r="O82" s="59"/>
      <c r="P82" s="23"/>
      <c r="Q82" s="59"/>
      <c r="R82" s="23"/>
      <c r="S82" s="59"/>
      <c r="T82" s="23"/>
      <c r="U82" s="59"/>
      <c r="V82" s="23"/>
      <c r="W82" s="59"/>
      <c r="X82" s="23"/>
      <c r="Y82" s="59"/>
      <c r="Z82" s="23"/>
      <c r="AA82" s="59"/>
      <c r="AB82" s="23"/>
      <c r="AC82" s="59"/>
      <c r="AD82" s="57"/>
      <c r="AE82" s="21"/>
    </row>
    <row r="83" spans="1:31" s="20" customFormat="1" ht="11.25" customHeight="1">
      <c r="A83" s="50" t="s">
        <v>119</v>
      </c>
      <c r="B83" s="23"/>
      <c r="C83" s="61" t="s">
        <v>146</v>
      </c>
      <c r="D83" s="23"/>
      <c r="E83" s="58">
        <v>8.4722222222222213E-2</v>
      </c>
      <c r="F83" s="23"/>
      <c r="G83" s="59" t="s">
        <v>146</v>
      </c>
      <c r="H83" s="23"/>
      <c r="I83" s="58">
        <v>0.12638888888888888</v>
      </c>
      <c r="J83" s="23"/>
      <c r="K83" s="59"/>
      <c r="L83" s="23"/>
      <c r="M83" s="59"/>
      <c r="N83" s="23"/>
      <c r="O83" s="59"/>
      <c r="P83" s="23"/>
      <c r="Q83" s="59"/>
      <c r="R83" s="23"/>
      <c r="S83" s="59"/>
      <c r="T83" s="23"/>
      <c r="U83" s="59"/>
      <c r="V83" s="23"/>
      <c r="W83" s="59"/>
      <c r="X83" s="23"/>
      <c r="Y83" s="59"/>
      <c r="Z83" s="23"/>
      <c r="AA83" s="59"/>
      <c r="AB83" s="23"/>
      <c r="AC83" s="59"/>
      <c r="AD83" s="57"/>
      <c r="AE83" s="21"/>
    </row>
    <row r="84" spans="1:31" s="20" customFormat="1" ht="11.25" customHeight="1">
      <c r="A84" s="50" t="s">
        <v>171</v>
      </c>
      <c r="B84" s="23"/>
      <c r="C84" s="61" t="s">
        <v>146</v>
      </c>
      <c r="D84" s="23"/>
      <c r="E84" s="58">
        <v>8.6111111111111124E-2</v>
      </c>
      <c r="F84" s="23"/>
      <c r="G84" s="59" t="s">
        <v>146</v>
      </c>
      <c r="H84" s="23"/>
      <c r="I84" s="58">
        <v>0.1277777777777778</v>
      </c>
      <c r="J84" s="23"/>
      <c r="K84" s="59"/>
      <c r="L84" s="23"/>
      <c r="M84" s="59"/>
      <c r="N84" s="23"/>
      <c r="O84" s="59"/>
      <c r="P84" s="23"/>
      <c r="Q84" s="59"/>
      <c r="R84" s="23"/>
      <c r="S84" s="59"/>
      <c r="T84" s="23"/>
      <c r="U84" s="59"/>
      <c r="V84" s="23"/>
      <c r="W84" s="59"/>
      <c r="X84" s="23"/>
      <c r="Y84" s="59"/>
      <c r="Z84" s="23"/>
      <c r="AA84" s="59"/>
      <c r="AB84" s="23"/>
      <c r="AC84" s="59"/>
      <c r="AD84" s="57"/>
      <c r="AE84" s="21"/>
    </row>
    <row r="85" spans="1:31" s="20" customFormat="1" ht="11.25" customHeight="1">
      <c r="A85" s="50" t="s">
        <v>172</v>
      </c>
      <c r="B85" s="23"/>
      <c r="C85" s="61" t="s">
        <v>146</v>
      </c>
      <c r="D85" s="23"/>
      <c r="E85" s="58">
        <v>8.6805555555555566E-2</v>
      </c>
      <c r="F85" s="23"/>
      <c r="G85" s="59" t="s">
        <v>146</v>
      </c>
      <c r="H85" s="23"/>
      <c r="I85" s="58">
        <v>0.12847222222222224</v>
      </c>
      <c r="J85" s="23"/>
      <c r="K85" s="59"/>
      <c r="L85" s="23"/>
      <c r="M85" s="59"/>
      <c r="N85" s="23"/>
      <c r="O85" s="59"/>
      <c r="P85" s="23"/>
      <c r="Q85" s="59"/>
      <c r="R85" s="23"/>
      <c r="S85" s="59"/>
      <c r="T85" s="23"/>
      <c r="U85" s="59"/>
      <c r="V85" s="23"/>
      <c r="W85" s="59"/>
      <c r="X85" s="23"/>
      <c r="Y85" s="59"/>
      <c r="Z85" s="23"/>
      <c r="AA85" s="59"/>
      <c r="AB85" s="23"/>
      <c r="AC85" s="59"/>
      <c r="AD85" s="57"/>
      <c r="AE85" s="21"/>
    </row>
    <row r="86" spans="1:31" s="20" customFormat="1" ht="11.25" customHeight="1">
      <c r="A86" s="50" t="s">
        <v>173</v>
      </c>
      <c r="B86" s="23"/>
      <c r="C86" s="61" t="s">
        <v>146</v>
      </c>
      <c r="D86" s="23"/>
      <c r="E86" s="58">
        <v>8.7500000000000008E-2</v>
      </c>
      <c r="F86" s="23"/>
      <c r="G86" s="59" t="s">
        <v>146</v>
      </c>
      <c r="H86" s="23"/>
      <c r="I86" s="58">
        <v>0.12916666666666668</v>
      </c>
      <c r="J86" s="23"/>
      <c r="K86" s="59"/>
      <c r="L86" s="23"/>
      <c r="M86" s="59"/>
      <c r="N86" s="23"/>
      <c r="O86" s="59"/>
      <c r="P86" s="23"/>
      <c r="Q86" s="59"/>
      <c r="R86" s="23"/>
      <c r="S86" s="59"/>
      <c r="T86" s="23"/>
      <c r="U86" s="59"/>
      <c r="V86" s="23"/>
      <c r="W86" s="59"/>
      <c r="X86" s="23"/>
      <c r="Y86" s="59"/>
      <c r="Z86" s="23"/>
      <c r="AA86" s="59"/>
      <c r="AB86" s="23"/>
      <c r="AC86" s="59"/>
      <c r="AD86" s="57"/>
      <c r="AE86" s="21"/>
    </row>
    <row r="87" spans="1:31" s="20" customFormat="1" ht="11.25" customHeight="1">
      <c r="A87" s="50" t="s">
        <v>174</v>
      </c>
      <c r="B87" s="23"/>
      <c r="C87" s="61" t="s">
        <v>146</v>
      </c>
      <c r="D87" s="23"/>
      <c r="E87" s="58">
        <v>8.819444444444445E-2</v>
      </c>
      <c r="F87" s="23"/>
      <c r="G87" s="59" t="s">
        <v>146</v>
      </c>
      <c r="H87" s="23"/>
      <c r="I87" s="58">
        <v>0.12986111111111112</v>
      </c>
      <c r="J87" s="23"/>
      <c r="K87" s="59"/>
      <c r="L87" s="23"/>
      <c r="M87" s="59"/>
      <c r="N87" s="23"/>
      <c r="O87" s="59"/>
      <c r="P87" s="23"/>
      <c r="Q87" s="59"/>
      <c r="R87" s="23"/>
      <c r="S87" s="59"/>
      <c r="T87" s="23"/>
      <c r="U87" s="59"/>
      <c r="V87" s="23"/>
      <c r="W87" s="59"/>
      <c r="X87" s="23"/>
      <c r="Y87" s="59"/>
      <c r="Z87" s="23"/>
      <c r="AA87" s="59"/>
      <c r="AB87" s="23"/>
      <c r="AC87" s="59"/>
      <c r="AD87" s="57"/>
      <c r="AE87" s="21"/>
    </row>
    <row r="88" spans="1:31" s="20" customFormat="1" ht="11.25" customHeight="1">
      <c r="A88" s="50" t="s">
        <v>175</v>
      </c>
      <c r="B88" s="23"/>
      <c r="C88" s="61" t="s">
        <v>146</v>
      </c>
      <c r="D88" s="23"/>
      <c r="E88" s="58">
        <v>8.8888888888888892E-2</v>
      </c>
      <c r="F88" s="23"/>
      <c r="G88" s="59" t="s">
        <v>146</v>
      </c>
      <c r="H88" s="23"/>
      <c r="I88" s="58">
        <v>0.13055555555555556</v>
      </c>
      <c r="J88" s="23"/>
      <c r="K88" s="59"/>
      <c r="L88" s="23"/>
      <c r="M88" s="59"/>
      <c r="N88" s="23"/>
      <c r="O88" s="59"/>
      <c r="P88" s="23"/>
      <c r="Q88" s="59"/>
      <c r="R88" s="23"/>
      <c r="S88" s="59"/>
      <c r="T88" s="23"/>
      <c r="U88" s="59"/>
      <c r="V88" s="23"/>
      <c r="W88" s="59"/>
      <c r="X88" s="23"/>
      <c r="Y88" s="59"/>
      <c r="Z88" s="23"/>
      <c r="AA88" s="59"/>
      <c r="AB88" s="23"/>
      <c r="AC88" s="59"/>
      <c r="AD88" s="57"/>
      <c r="AE88" s="21"/>
    </row>
    <row r="89" spans="1:31" s="20" customFormat="1" ht="11.25" customHeight="1">
      <c r="A89" s="50" t="s">
        <v>176</v>
      </c>
      <c r="B89" s="23"/>
      <c r="C89" s="61" t="s">
        <v>146</v>
      </c>
      <c r="D89" s="23"/>
      <c r="E89" s="58">
        <v>8.9583333333333334E-2</v>
      </c>
      <c r="F89" s="23"/>
      <c r="G89" s="59" t="s">
        <v>146</v>
      </c>
      <c r="H89" s="23"/>
      <c r="I89" s="58">
        <v>0.13125000000000001</v>
      </c>
      <c r="J89" s="23"/>
      <c r="K89" s="59"/>
      <c r="L89" s="23"/>
      <c r="M89" s="59"/>
      <c r="N89" s="23"/>
      <c r="O89" s="59"/>
      <c r="P89" s="23"/>
      <c r="Q89" s="59"/>
      <c r="R89" s="23"/>
      <c r="S89" s="59"/>
      <c r="T89" s="23"/>
      <c r="U89" s="59"/>
      <c r="V89" s="23"/>
      <c r="W89" s="59"/>
      <c r="X89" s="23"/>
      <c r="Y89" s="59"/>
      <c r="Z89" s="23"/>
      <c r="AA89" s="59"/>
      <c r="AB89" s="23"/>
      <c r="AC89" s="59"/>
      <c r="AD89" s="57"/>
      <c r="AE89" s="21"/>
    </row>
    <row r="90" spans="1:31" s="20" customFormat="1" ht="11.25" customHeight="1">
      <c r="A90" s="50" t="s">
        <v>177</v>
      </c>
      <c r="B90" s="23"/>
      <c r="C90" s="61" t="s">
        <v>146</v>
      </c>
      <c r="D90" s="23"/>
      <c r="E90" s="58">
        <v>9.0972222222222218E-2</v>
      </c>
      <c r="F90" s="23"/>
      <c r="G90" s="59" t="s">
        <v>146</v>
      </c>
      <c r="H90" s="23"/>
      <c r="I90" s="58">
        <v>0.13263888888888889</v>
      </c>
      <c r="J90" s="23"/>
      <c r="K90" s="59"/>
      <c r="L90" s="23"/>
      <c r="M90" s="59"/>
      <c r="N90" s="23"/>
      <c r="O90" s="59"/>
      <c r="P90" s="23"/>
      <c r="Q90" s="59"/>
      <c r="R90" s="23"/>
      <c r="S90" s="59"/>
      <c r="T90" s="23"/>
      <c r="U90" s="59"/>
      <c r="V90" s="23"/>
      <c r="W90" s="59"/>
      <c r="X90" s="23"/>
      <c r="Y90" s="59"/>
      <c r="Z90" s="23"/>
      <c r="AA90" s="59"/>
      <c r="AB90" s="23"/>
      <c r="AC90" s="59"/>
      <c r="AD90" s="57"/>
      <c r="AE90" s="21"/>
    </row>
    <row r="91" spans="1:31" s="20" customFormat="1" ht="11.25" customHeight="1">
      <c r="A91" s="50" t="s">
        <v>178</v>
      </c>
      <c r="B91" s="23"/>
      <c r="C91" s="61" t="s">
        <v>146</v>
      </c>
      <c r="D91" s="23"/>
      <c r="E91" s="58">
        <v>9.1666666666666674E-2</v>
      </c>
      <c r="F91" s="23"/>
      <c r="G91" s="59" t="s">
        <v>146</v>
      </c>
      <c r="H91" s="23"/>
      <c r="I91" s="58">
        <v>0.13333333333333333</v>
      </c>
      <c r="J91" s="23"/>
      <c r="K91" s="59"/>
      <c r="L91" s="23"/>
      <c r="M91" s="59"/>
      <c r="N91" s="23"/>
      <c r="O91" s="59"/>
      <c r="P91" s="23"/>
      <c r="Q91" s="59"/>
      <c r="R91" s="23"/>
      <c r="S91" s="59"/>
      <c r="T91" s="23"/>
      <c r="U91" s="59"/>
      <c r="V91" s="23"/>
      <c r="W91" s="59"/>
      <c r="X91" s="23"/>
      <c r="Y91" s="59"/>
      <c r="Z91" s="23"/>
      <c r="AA91" s="59"/>
      <c r="AB91" s="23"/>
      <c r="AC91" s="59"/>
      <c r="AD91" s="57"/>
      <c r="AE91" s="21"/>
    </row>
    <row r="92" spans="1:31" s="20" customFormat="1" ht="11.25" customHeight="1">
      <c r="A92" s="50" t="s">
        <v>179</v>
      </c>
      <c r="B92" s="23"/>
      <c r="C92" s="61" t="s">
        <v>146</v>
      </c>
      <c r="D92" s="23"/>
      <c r="E92" s="58">
        <v>9.2361111111111116E-2</v>
      </c>
      <c r="F92" s="23"/>
      <c r="G92" s="59" t="s">
        <v>146</v>
      </c>
      <c r="H92" s="23"/>
      <c r="I92" s="58">
        <v>0.13402777777777777</v>
      </c>
      <c r="J92" s="23"/>
      <c r="K92" s="59"/>
      <c r="L92" s="23"/>
      <c r="M92" s="59"/>
      <c r="N92" s="23"/>
      <c r="O92" s="59"/>
      <c r="P92" s="23"/>
      <c r="Q92" s="59"/>
      <c r="R92" s="23"/>
      <c r="S92" s="59"/>
      <c r="T92" s="23"/>
      <c r="U92" s="59"/>
      <c r="V92" s="23"/>
      <c r="W92" s="59"/>
      <c r="X92" s="23"/>
      <c r="Y92" s="59"/>
      <c r="Z92" s="23"/>
      <c r="AA92" s="59"/>
      <c r="AB92" s="23"/>
      <c r="AC92" s="59"/>
      <c r="AD92" s="57"/>
      <c r="AE92" s="21"/>
    </row>
    <row r="93" spans="1:31" s="20" customFormat="1" ht="11.25" customHeight="1">
      <c r="A93" s="50" t="s">
        <v>180</v>
      </c>
      <c r="B93" s="23"/>
      <c r="C93" s="61" t="s">
        <v>146</v>
      </c>
      <c r="D93" s="23"/>
      <c r="E93" s="58">
        <v>9.375E-2</v>
      </c>
      <c r="F93" s="23"/>
      <c r="G93" s="59" t="s">
        <v>146</v>
      </c>
      <c r="H93" s="23"/>
      <c r="I93" s="58">
        <v>0.13541666666666666</v>
      </c>
      <c r="J93" s="23"/>
      <c r="K93" s="59"/>
      <c r="L93" s="23"/>
      <c r="M93" s="59"/>
      <c r="N93" s="23"/>
      <c r="O93" s="59"/>
      <c r="P93" s="23"/>
      <c r="Q93" s="59"/>
      <c r="R93" s="23"/>
      <c r="S93" s="59"/>
      <c r="T93" s="23"/>
      <c r="U93" s="59"/>
      <c r="V93" s="23"/>
      <c r="W93" s="59"/>
      <c r="X93" s="23"/>
      <c r="Y93" s="59"/>
      <c r="Z93" s="23"/>
      <c r="AA93" s="59"/>
      <c r="AB93" s="23"/>
      <c r="AC93" s="59"/>
      <c r="AD93" s="57"/>
      <c r="AE93" s="21"/>
    </row>
    <row r="94" spans="1:31" s="20" customFormat="1" ht="11.25" customHeight="1">
      <c r="A94" s="50" t="s">
        <v>181</v>
      </c>
      <c r="B94" s="23"/>
      <c r="C94" s="61" t="s">
        <v>146</v>
      </c>
      <c r="D94" s="23"/>
      <c r="E94" s="58">
        <v>9.5138888888888884E-2</v>
      </c>
      <c r="F94" s="23"/>
      <c r="G94" s="59" t="s">
        <v>146</v>
      </c>
      <c r="H94" s="23"/>
      <c r="I94" s="58">
        <v>0.13680555555555554</v>
      </c>
      <c r="J94" s="23"/>
      <c r="K94" s="59"/>
      <c r="L94" s="23"/>
      <c r="M94" s="59"/>
      <c r="N94" s="23"/>
      <c r="O94" s="59"/>
      <c r="P94" s="23"/>
      <c r="Q94" s="59"/>
      <c r="R94" s="23"/>
      <c r="S94" s="59"/>
      <c r="T94" s="23"/>
      <c r="U94" s="59"/>
      <c r="V94" s="23"/>
      <c r="W94" s="59"/>
      <c r="X94" s="23"/>
      <c r="Y94" s="59"/>
      <c r="Z94" s="23"/>
      <c r="AA94" s="59"/>
      <c r="AB94" s="23"/>
      <c r="AC94" s="59"/>
      <c r="AD94" s="57"/>
      <c r="AE94" s="21"/>
    </row>
    <row r="95" spans="1:31" s="20" customFormat="1" ht="11.25" customHeight="1">
      <c r="A95" s="50" t="s">
        <v>182</v>
      </c>
      <c r="B95" s="23"/>
      <c r="C95" s="61" t="s">
        <v>146</v>
      </c>
      <c r="D95" s="23"/>
      <c r="E95" s="58">
        <v>9.6527777777777768E-2</v>
      </c>
      <c r="F95" s="23"/>
      <c r="G95" s="59" t="s">
        <v>146</v>
      </c>
      <c r="H95" s="23"/>
      <c r="I95" s="58">
        <v>0.13819444444444443</v>
      </c>
      <c r="J95" s="23"/>
      <c r="K95" s="59"/>
      <c r="L95" s="23"/>
      <c r="M95" s="59"/>
      <c r="N95" s="23"/>
      <c r="O95" s="59"/>
      <c r="P95" s="23"/>
      <c r="Q95" s="59"/>
      <c r="R95" s="23"/>
      <c r="S95" s="59"/>
      <c r="T95" s="23"/>
      <c r="U95" s="59"/>
      <c r="V95" s="23"/>
      <c r="W95" s="59"/>
      <c r="X95" s="23"/>
      <c r="Y95" s="59"/>
      <c r="Z95" s="23"/>
      <c r="AA95" s="59"/>
      <c r="AB95" s="23"/>
      <c r="AC95" s="59"/>
      <c r="AD95" s="57"/>
      <c r="AE95" s="21"/>
    </row>
    <row r="96" spans="1:31" s="20" customFormat="1" ht="11.25" customHeight="1">
      <c r="A96" s="48" t="s">
        <v>184</v>
      </c>
      <c r="B96" s="51"/>
      <c r="C96" s="55"/>
      <c r="D96" s="51"/>
      <c r="E96" s="55" t="s">
        <v>144</v>
      </c>
      <c r="F96" s="51"/>
      <c r="G96" s="55" t="s">
        <v>183</v>
      </c>
      <c r="H96" s="51"/>
      <c r="I96" s="55" t="s">
        <v>144</v>
      </c>
      <c r="J96" s="51"/>
      <c r="K96" s="56"/>
      <c r="L96" s="51"/>
      <c r="M96" s="56"/>
      <c r="N96" s="51"/>
      <c r="O96" s="56"/>
      <c r="P96" s="51"/>
      <c r="Q96" s="56"/>
      <c r="R96" s="51"/>
      <c r="S96" s="56"/>
      <c r="T96" s="51"/>
      <c r="U96" s="56"/>
      <c r="V96" s="51"/>
      <c r="W96" s="56"/>
      <c r="X96" s="51"/>
      <c r="Y96" s="56"/>
      <c r="Z96" s="51"/>
      <c r="AA96" s="56"/>
      <c r="AB96" s="51"/>
      <c r="AC96" s="56"/>
      <c r="AD96" s="54"/>
      <c r="AE96" s="21"/>
    </row>
    <row r="97" spans="1:31" s="20" customFormat="1" ht="11.25" customHeight="1">
      <c r="A97" s="50" t="s">
        <v>182</v>
      </c>
      <c r="B97" s="23"/>
      <c r="C97" s="58" t="s">
        <v>146</v>
      </c>
      <c r="D97" s="23"/>
      <c r="E97" s="58">
        <v>9.6527777777777768E-2</v>
      </c>
      <c r="F97" s="23"/>
      <c r="G97" s="61" t="s">
        <v>146</v>
      </c>
      <c r="H97" s="23"/>
      <c r="I97" s="58">
        <v>0.13819444444444443</v>
      </c>
      <c r="J97" s="23"/>
      <c r="K97" s="59"/>
      <c r="L97" s="23"/>
      <c r="M97" s="59"/>
      <c r="N97" s="23"/>
      <c r="O97" s="59"/>
      <c r="P97" s="23"/>
      <c r="Q97" s="59"/>
      <c r="R97" s="23"/>
      <c r="S97" s="59"/>
      <c r="T97" s="23"/>
      <c r="U97" s="59"/>
      <c r="V97" s="23"/>
      <c r="W97" s="59"/>
      <c r="X97" s="23"/>
      <c r="Y97" s="59"/>
      <c r="Z97" s="23"/>
      <c r="AA97" s="59"/>
      <c r="AB97" s="23"/>
      <c r="AC97" s="59"/>
      <c r="AD97" s="57"/>
      <c r="AE97" s="21"/>
    </row>
    <row r="98" spans="1:31" s="20" customFormat="1" ht="11.25" customHeight="1">
      <c r="A98" s="50" t="s">
        <v>185</v>
      </c>
      <c r="B98" s="23"/>
      <c r="C98" s="58" t="s">
        <v>146</v>
      </c>
      <c r="D98" s="23"/>
      <c r="E98" s="58">
        <v>9.7916666666666666E-2</v>
      </c>
      <c r="F98" s="23"/>
      <c r="G98" s="61" t="s">
        <v>146</v>
      </c>
      <c r="H98" s="23"/>
      <c r="I98" s="58">
        <v>0.13958333333333334</v>
      </c>
      <c r="J98" s="23"/>
      <c r="K98" s="59"/>
      <c r="L98" s="23"/>
      <c r="M98" s="59"/>
      <c r="N98" s="23"/>
      <c r="O98" s="59"/>
      <c r="P98" s="23"/>
      <c r="Q98" s="59"/>
      <c r="R98" s="23"/>
      <c r="S98" s="59"/>
      <c r="T98" s="23"/>
      <c r="U98" s="59"/>
      <c r="V98" s="23"/>
      <c r="W98" s="59"/>
      <c r="X98" s="23"/>
      <c r="Y98" s="59"/>
      <c r="Z98" s="23"/>
      <c r="AA98" s="59"/>
      <c r="AB98" s="23"/>
      <c r="AC98" s="59"/>
      <c r="AD98" s="57"/>
      <c r="AE98" s="21"/>
    </row>
    <row r="99" spans="1:31" s="20" customFormat="1" ht="11.25" customHeight="1">
      <c r="A99" s="50" t="s">
        <v>186</v>
      </c>
      <c r="B99" s="23"/>
      <c r="C99" s="58" t="s">
        <v>146</v>
      </c>
      <c r="D99" s="23"/>
      <c r="E99" s="58">
        <v>9.930555555555555E-2</v>
      </c>
      <c r="F99" s="23"/>
      <c r="G99" s="61" t="s">
        <v>146</v>
      </c>
      <c r="H99" s="23"/>
      <c r="I99" s="58">
        <v>0.14097222222222222</v>
      </c>
      <c r="J99" s="23"/>
      <c r="K99" s="59"/>
      <c r="L99" s="23"/>
      <c r="M99" s="59"/>
      <c r="N99" s="23"/>
      <c r="O99" s="59"/>
      <c r="P99" s="23"/>
      <c r="Q99" s="59"/>
      <c r="R99" s="23"/>
      <c r="S99" s="59"/>
      <c r="T99" s="23"/>
      <c r="U99" s="59"/>
      <c r="V99" s="23"/>
      <c r="W99" s="59"/>
      <c r="X99" s="23"/>
      <c r="Y99" s="59"/>
      <c r="Z99" s="23"/>
      <c r="AA99" s="59"/>
      <c r="AB99" s="23"/>
      <c r="AC99" s="59"/>
      <c r="AD99" s="57"/>
      <c r="AE99" s="21"/>
    </row>
    <row r="100" spans="1:31" s="20" customFormat="1" ht="11.25" customHeight="1">
      <c r="A100" s="50" t="s">
        <v>187</v>
      </c>
      <c r="B100" s="23"/>
      <c r="C100" s="58" t="s">
        <v>146</v>
      </c>
      <c r="D100" s="23"/>
      <c r="E100" s="58">
        <v>9.9999999999999992E-2</v>
      </c>
      <c r="F100" s="23"/>
      <c r="G100" s="61" t="s">
        <v>146</v>
      </c>
      <c r="H100" s="23"/>
      <c r="I100" s="58">
        <v>0.14166666666666666</v>
      </c>
      <c r="J100" s="23"/>
      <c r="K100" s="59"/>
      <c r="L100" s="23"/>
      <c r="M100" s="59"/>
      <c r="N100" s="23"/>
      <c r="O100" s="59"/>
      <c r="P100" s="23"/>
      <c r="Q100" s="59"/>
      <c r="R100" s="23"/>
      <c r="S100" s="59"/>
      <c r="T100" s="23"/>
      <c r="U100" s="59"/>
      <c r="V100" s="23"/>
      <c r="W100" s="59"/>
      <c r="X100" s="23"/>
      <c r="Y100" s="59"/>
      <c r="Z100" s="23"/>
      <c r="AA100" s="59"/>
      <c r="AB100" s="23"/>
      <c r="AC100" s="59"/>
      <c r="AD100" s="57"/>
      <c r="AE100" s="21"/>
    </row>
    <row r="101" spans="1:31" s="20" customFormat="1" ht="11.25" customHeight="1">
      <c r="A101" s="50" t="s">
        <v>188</v>
      </c>
      <c r="B101" s="23"/>
      <c r="C101" s="58" t="s">
        <v>146</v>
      </c>
      <c r="D101" s="23"/>
      <c r="E101" s="58">
        <v>0.10069444444444443</v>
      </c>
      <c r="F101" s="23"/>
      <c r="G101" s="61" t="s">
        <v>146</v>
      </c>
      <c r="H101" s="23"/>
      <c r="I101" s="58">
        <v>0.1423611111111111</v>
      </c>
      <c r="J101" s="23"/>
      <c r="K101" s="59"/>
      <c r="L101" s="23"/>
      <c r="M101" s="59"/>
      <c r="N101" s="23"/>
      <c r="O101" s="59"/>
      <c r="P101" s="23"/>
      <c r="Q101" s="59"/>
      <c r="R101" s="23"/>
      <c r="S101" s="59"/>
      <c r="T101" s="23"/>
      <c r="U101" s="59"/>
      <c r="V101" s="23"/>
      <c r="W101" s="59"/>
      <c r="X101" s="23"/>
      <c r="Y101" s="59"/>
      <c r="Z101" s="23"/>
      <c r="AA101" s="59"/>
      <c r="AB101" s="23"/>
      <c r="AC101" s="59"/>
      <c r="AD101" s="57"/>
      <c r="AE101" s="21"/>
    </row>
    <row r="102" spans="1:31" s="20" customFormat="1" ht="11.25" customHeight="1">
      <c r="A102" s="50" t="s">
        <v>189</v>
      </c>
      <c r="B102" s="23"/>
      <c r="C102" s="58" t="s">
        <v>146</v>
      </c>
      <c r="D102" s="23"/>
      <c r="E102" s="58">
        <v>0.10347222222222223</v>
      </c>
      <c r="F102" s="23"/>
      <c r="G102" s="61" t="s">
        <v>146</v>
      </c>
      <c r="H102" s="23"/>
      <c r="I102" s="58">
        <v>0.1451388888888889</v>
      </c>
      <c r="J102" s="23"/>
      <c r="K102" s="59"/>
      <c r="L102" s="23"/>
      <c r="M102" s="59"/>
      <c r="N102" s="23"/>
      <c r="O102" s="59"/>
      <c r="P102" s="23"/>
      <c r="Q102" s="59"/>
      <c r="R102" s="23"/>
      <c r="S102" s="59"/>
      <c r="T102" s="23"/>
      <c r="U102" s="59"/>
      <c r="V102" s="23"/>
      <c r="W102" s="59"/>
      <c r="X102" s="23"/>
      <c r="Y102" s="59"/>
      <c r="Z102" s="23"/>
      <c r="AA102" s="59"/>
      <c r="AB102" s="23"/>
      <c r="AC102" s="59"/>
      <c r="AD102" s="57"/>
      <c r="AE102" s="21"/>
    </row>
    <row r="103" spans="1:31" s="20" customFormat="1" ht="11.25" customHeight="1">
      <c r="A103" s="50" t="s">
        <v>190</v>
      </c>
      <c r="B103" s="23"/>
      <c r="C103" s="58" t="s">
        <v>146</v>
      </c>
      <c r="D103" s="23"/>
      <c r="E103" s="58">
        <v>0.10694444444444444</v>
      </c>
      <c r="F103" s="23"/>
      <c r="G103" s="110" t="s">
        <v>203</v>
      </c>
      <c r="H103" s="23"/>
      <c r="I103" s="58">
        <v>0.14861111111111111</v>
      </c>
      <c r="J103" s="23"/>
      <c r="K103" s="59"/>
      <c r="L103" s="23"/>
      <c r="M103" s="59"/>
      <c r="N103" s="23"/>
      <c r="O103" s="59"/>
      <c r="P103" s="23"/>
      <c r="Q103" s="59"/>
      <c r="R103" s="23"/>
      <c r="S103" s="59"/>
      <c r="T103" s="23"/>
      <c r="U103" s="59"/>
      <c r="V103" s="23"/>
      <c r="W103" s="59"/>
      <c r="X103" s="23"/>
      <c r="Y103" s="59"/>
      <c r="Z103" s="23"/>
      <c r="AA103" s="59"/>
      <c r="AB103" s="23"/>
      <c r="AC103" s="59"/>
      <c r="AD103" s="57"/>
      <c r="AE103" s="21"/>
    </row>
    <row r="104" spans="1:31" s="20" customFormat="1" ht="11.25" customHeight="1">
      <c r="A104" s="50" t="s">
        <v>169</v>
      </c>
      <c r="B104" s="23"/>
      <c r="C104" s="61" t="s">
        <v>146</v>
      </c>
      <c r="D104" s="23"/>
      <c r="E104" s="61" t="s">
        <v>146</v>
      </c>
      <c r="F104" s="23"/>
      <c r="G104" s="58">
        <v>0.10902777777777778</v>
      </c>
      <c r="H104" s="23"/>
      <c r="I104" s="61" t="s">
        <v>146</v>
      </c>
      <c r="J104" s="23"/>
      <c r="K104" s="59"/>
      <c r="L104" s="23"/>
      <c r="M104" s="59"/>
      <c r="N104" s="23"/>
      <c r="O104" s="59"/>
      <c r="P104" s="23"/>
      <c r="Q104" s="59"/>
      <c r="R104" s="23"/>
      <c r="S104" s="59"/>
      <c r="T104" s="23"/>
      <c r="U104" s="59"/>
      <c r="V104" s="23"/>
      <c r="W104" s="59"/>
      <c r="X104" s="23"/>
      <c r="Y104" s="59"/>
      <c r="Z104" s="23"/>
      <c r="AA104" s="59"/>
      <c r="AB104" s="23"/>
      <c r="AC104" s="59"/>
      <c r="AD104" s="57"/>
      <c r="AE104" s="21"/>
    </row>
    <row r="105" spans="1:31" s="20" customFormat="1" ht="11.25" customHeight="1">
      <c r="A105" s="62"/>
      <c r="B105" s="51"/>
      <c r="C105" s="51"/>
      <c r="D105" s="51"/>
      <c r="E105" s="51"/>
      <c r="F105" s="51"/>
      <c r="G105" s="51"/>
      <c r="H105" s="51"/>
      <c r="I105" s="51"/>
      <c r="J105" s="51"/>
      <c r="K105" s="51"/>
      <c r="L105" s="51"/>
      <c r="M105" s="51"/>
      <c r="N105" s="51"/>
      <c r="O105" s="51"/>
      <c r="P105" s="51"/>
      <c r="Q105" s="51"/>
      <c r="R105" s="51"/>
      <c r="S105" s="51"/>
      <c r="T105" s="51"/>
      <c r="U105" s="51"/>
      <c r="V105" s="51"/>
      <c r="W105" s="51"/>
      <c r="X105" s="51"/>
      <c r="Y105" s="51"/>
      <c r="Z105" s="51"/>
      <c r="AA105" s="51"/>
      <c r="AB105" s="51"/>
      <c r="AC105" s="51"/>
      <c r="AD105" s="54"/>
      <c r="AE105" s="21"/>
    </row>
    <row r="106" spans="1:31" s="20" customFormat="1" ht="11.25" customHeight="1">
      <c r="A106" s="64" t="s">
        <v>191</v>
      </c>
      <c r="B106" s="63"/>
      <c r="C106" s="63"/>
      <c r="D106" s="63"/>
      <c r="E106" s="63"/>
      <c r="F106" s="63"/>
      <c r="G106" s="63"/>
      <c r="H106" s="63"/>
      <c r="I106" s="66">
        <v>1.1659722222222222</v>
      </c>
      <c r="J106" s="63"/>
      <c r="K106" s="63"/>
      <c r="L106" s="63"/>
      <c r="M106" s="63"/>
      <c r="N106" s="63"/>
      <c r="O106" s="63"/>
      <c r="P106" s="63"/>
      <c r="Q106" s="63"/>
      <c r="R106" s="63"/>
      <c r="S106" s="63"/>
      <c r="T106" s="63"/>
      <c r="U106" s="63"/>
      <c r="V106" s="63"/>
      <c r="W106" s="63"/>
      <c r="X106" s="63"/>
      <c r="Y106" s="63"/>
      <c r="Z106" s="63"/>
      <c r="AA106" s="63"/>
      <c r="AB106" s="63"/>
      <c r="AC106" s="63"/>
      <c r="AD106" s="65"/>
      <c r="AE106" s="21"/>
    </row>
    <row r="107" spans="1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1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1:31" s="20" customFormat="1" ht="11.25" customHeight="1">
      <c r="A109" s="106" t="s">
        <v>199</v>
      </c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1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1:31" s="20" customFormat="1" ht="11.25" customHeight="1">
      <c r="A111" s="77" t="s">
        <v>193</v>
      </c>
      <c r="B111" s="78"/>
      <c r="C111" s="78"/>
      <c r="D111" s="78"/>
      <c r="E111" s="78"/>
      <c r="F111" s="78"/>
      <c r="G111" s="78"/>
      <c r="H111" s="78"/>
      <c r="I111" s="78"/>
      <c r="J111" s="79"/>
      <c r="K111" s="79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1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1:31" s="20" customFormat="1" ht="11.25" customHeight="1">
      <c r="A113" s="107" t="s">
        <v>200</v>
      </c>
      <c r="B113" s="108"/>
      <c r="C113" s="108"/>
      <c r="D113" s="108"/>
      <c r="E113" s="108"/>
      <c r="F113" s="108"/>
      <c r="G113" s="108"/>
      <c r="H113" s="23"/>
      <c r="I113" s="109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1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1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1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1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1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1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1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1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1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1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1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1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1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1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1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/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</sheetData>
  <mergeCells count="18">
    <mergeCell ref="D3:T3"/>
    <mergeCell ref="U3:Y3"/>
    <mergeCell ref="AA3:AC3"/>
    <mergeCell ref="A1:B1"/>
    <mergeCell ref="D1:T1"/>
    <mergeCell ref="U1:AC1"/>
    <mergeCell ref="D2:T2"/>
    <mergeCell ref="U2:Y2"/>
    <mergeCell ref="AA2:AC2"/>
    <mergeCell ref="D75:T75"/>
    <mergeCell ref="U75:Y75"/>
    <mergeCell ref="AA75:AC75"/>
    <mergeCell ref="A73:B73"/>
    <mergeCell ref="D73:T73"/>
    <mergeCell ref="U73:AC73"/>
    <mergeCell ref="D74:T74"/>
    <mergeCell ref="U74:Y74"/>
    <mergeCell ref="AA74:AC74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6"/>
      <c r="B1" s="97"/>
      <c r="C1" s="25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5"/>
      <c r="V1" s="95"/>
      <c r="W1" s="95"/>
      <c r="X1" s="95"/>
      <c r="Y1" s="95"/>
      <c r="Z1" s="95"/>
      <c r="AA1" s="95"/>
      <c r="AB1" s="95"/>
      <c r="AC1" s="95"/>
      <c r="AD1" s="26"/>
      <c r="AE1" s="27"/>
      <c r="AF1" s="27"/>
    </row>
    <row r="2" spans="1:36" s="28" customFormat="1" ht="15.75" customHeight="1">
      <c r="A2" s="37"/>
      <c r="B2" s="29"/>
      <c r="C2" s="30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3"/>
      <c r="V2" s="93"/>
      <c r="W2" s="93"/>
      <c r="X2" s="93"/>
      <c r="Y2" s="93"/>
      <c r="Z2" s="35"/>
      <c r="AA2" s="94"/>
      <c r="AB2" s="94"/>
      <c r="AC2" s="94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100" t="s">
        <v>53</v>
      </c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1" t="s">
        <v>3</v>
      </c>
      <c r="V3" s="101"/>
      <c r="W3" s="101"/>
      <c r="X3" s="101"/>
      <c r="Y3" s="101"/>
      <c r="Z3" s="33"/>
      <c r="AA3" s="91" t="str">
        <f>GueltigAb</f>
        <v>25.12.2022</v>
      </c>
      <c r="AB3" s="92"/>
      <c r="AC3" s="92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E351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16">
      <c r="A1" s="2">
        <v>1</v>
      </c>
      <c r="B1" s="2">
        <v>4</v>
      </c>
      <c r="C1" s="2">
        <v>37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0.69652777777777775</v>
      </c>
      <c r="J1" s="43">
        <v>1.1659722222222222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16">
      <c r="A2" s="2">
        <v>8</v>
      </c>
      <c r="B2" s="2" t="s">
        <v>61</v>
      </c>
      <c r="C2" s="42">
        <v>0.69652777777777775</v>
      </c>
      <c r="D2" s="2" t="s">
        <v>64</v>
      </c>
      <c r="E2" s="42">
        <v>0.71388888888888891</v>
      </c>
      <c r="F2" s="2">
        <v>101</v>
      </c>
    </row>
    <row r="3" spans="1:16">
      <c r="A3" s="2">
        <v>2</v>
      </c>
      <c r="B3" s="2" t="s">
        <v>65</v>
      </c>
      <c r="C3" s="2">
        <v>21</v>
      </c>
      <c r="D3" s="2" t="s">
        <v>46</v>
      </c>
      <c r="E3" s="2">
        <v>82</v>
      </c>
      <c r="F3" s="2">
        <v>14</v>
      </c>
      <c r="G3" s="2">
        <v>3</v>
      </c>
      <c r="H3" s="2">
        <v>750</v>
      </c>
    </row>
    <row r="4" spans="1:16">
      <c r="A4" s="2">
        <v>3</v>
      </c>
      <c r="B4" s="2">
        <v>2</v>
      </c>
      <c r="C4" s="2">
        <v>166</v>
      </c>
      <c r="D4" s="2">
        <v>186</v>
      </c>
      <c r="E4" s="2">
        <v>203</v>
      </c>
      <c r="F4" s="2">
        <v>213</v>
      </c>
    </row>
    <row r="5" spans="1:16">
      <c r="A5" s="2">
        <v>3</v>
      </c>
      <c r="B5" s="2">
        <v>1</v>
      </c>
      <c r="C5" s="2">
        <v>1</v>
      </c>
      <c r="D5" s="2">
        <v>1</v>
      </c>
      <c r="E5" s="2">
        <v>1</v>
      </c>
      <c r="F5" s="2">
        <v>1</v>
      </c>
    </row>
    <row r="6" spans="1:16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</row>
    <row r="7" spans="1:16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</row>
    <row r="8" spans="1:16">
      <c r="A8" s="2">
        <v>3</v>
      </c>
      <c r="B8" s="2">
        <v>5</v>
      </c>
    </row>
    <row r="9" spans="1:16">
      <c r="A9" s="2">
        <v>3</v>
      </c>
      <c r="B9" s="2">
        <v>6</v>
      </c>
    </row>
    <row r="10" spans="1:16">
      <c r="A10" s="2">
        <v>4</v>
      </c>
      <c r="B10" s="2" t="s">
        <v>64</v>
      </c>
      <c r="C10" s="2" t="s">
        <v>66</v>
      </c>
      <c r="D10" s="2">
        <v>0</v>
      </c>
      <c r="F10" s="2">
        <v>1</v>
      </c>
      <c r="G10" s="42">
        <v>0.71388888888888891</v>
      </c>
      <c r="J10" s="42">
        <v>0.79722222222222217</v>
      </c>
      <c r="M10" s="42">
        <v>0.88055555555555554</v>
      </c>
      <c r="P10" s="42">
        <v>0.95347222222222217</v>
      </c>
    </row>
    <row r="11" spans="1:16">
      <c r="A11" s="2">
        <v>4</v>
      </c>
      <c r="B11" s="2" t="s">
        <v>67</v>
      </c>
      <c r="C11" s="2" t="s">
        <v>66</v>
      </c>
      <c r="D11" s="2">
        <v>0</v>
      </c>
      <c r="F11" s="2">
        <v>1</v>
      </c>
      <c r="G11" s="42">
        <v>0.71527777777777779</v>
      </c>
      <c r="J11" s="42">
        <v>0.79861111111111116</v>
      </c>
      <c r="M11" s="42">
        <v>0.88194444444444453</v>
      </c>
      <c r="P11" s="42">
        <v>0.95486111111111116</v>
      </c>
    </row>
    <row r="12" spans="1:16">
      <c r="A12" s="2">
        <v>4</v>
      </c>
      <c r="B12" s="2" t="s">
        <v>68</v>
      </c>
      <c r="C12" s="2" t="s">
        <v>66</v>
      </c>
      <c r="D12" s="2">
        <v>0</v>
      </c>
      <c r="F12" s="2">
        <v>2</v>
      </c>
      <c r="G12" s="42">
        <v>0.71597222222222223</v>
      </c>
      <c r="J12" s="42">
        <v>0.7993055555555556</v>
      </c>
      <c r="M12" s="42">
        <v>0.88263888888888886</v>
      </c>
      <c r="P12" s="42">
        <v>0.9555555555555556</v>
      </c>
    </row>
    <row r="13" spans="1:16">
      <c r="A13" s="2">
        <v>4</v>
      </c>
      <c r="B13" s="2" t="s">
        <v>69</v>
      </c>
      <c r="C13" s="2" t="s">
        <v>66</v>
      </c>
      <c r="D13" s="2">
        <v>0</v>
      </c>
      <c r="F13" s="2">
        <v>1</v>
      </c>
      <c r="G13" s="42">
        <v>0.72083333333333333</v>
      </c>
      <c r="J13" s="42">
        <v>0.8041666666666667</v>
      </c>
      <c r="M13" s="42">
        <v>0.88750000000000007</v>
      </c>
      <c r="P13" s="42">
        <v>0.9604166666666667</v>
      </c>
    </row>
    <row r="14" spans="1:16">
      <c r="A14" s="2">
        <v>4</v>
      </c>
      <c r="B14" s="2" t="s">
        <v>70</v>
      </c>
      <c r="C14" s="2" t="s">
        <v>66</v>
      </c>
      <c r="D14" s="2">
        <v>0</v>
      </c>
      <c r="F14" s="2">
        <v>1</v>
      </c>
      <c r="G14" s="42">
        <v>0.72152777777777777</v>
      </c>
      <c r="J14" s="42">
        <v>0.80486111111111114</v>
      </c>
      <c r="M14" s="42">
        <v>0.8881944444444444</v>
      </c>
      <c r="P14" s="42">
        <v>0.96111111111111114</v>
      </c>
    </row>
    <row r="15" spans="1:16">
      <c r="A15" s="2">
        <v>4</v>
      </c>
      <c r="B15" s="2" t="s">
        <v>71</v>
      </c>
      <c r="C15" s="2" t="s">
        <v>66</v>
      </c>
      <c r="D15" s="2">
        <v>0</v>
      </c>
      <c r="F15" s="2">
        <v>1</v>
      </c>
      <c r="G15" s="42">
        <v>0.72222222222222221</v>
      </c>
      <c r="J15" s="42">
        <v>0.80555555555555547</v>
      </c>
      <c r="M15" s="42">
        <v>0.88888888888888884</v>
      </c>
      <c r="P15" s="42">
        <v>0.96180555555555547</v>
      </c>
    </row>
    <row r="16" spans="1:16">
      <c r="A16" s="2">
        <v>4</v>
      </c>
      <c r="B16" s="2" t="s">
        <v>72</v>
      </c>
      <c r="C16" s="2" t="s">
        <v>66</v>
      </c>
      <c r="D16" s="2">
        <v>0</v>
      </c>
      <c r="F16" s="2">
        <v>3</v>
      </c>
      <c r="G16" s="42">
        <v>0.72361111111111109</v>
      </c>
      <c r="J16" s="42">
        <v>0.80694444444444446</v>
      </c>
      <c r="M16" s="42">
        <v>0.89027777777777783</v>
      </c>
      <c r="P16" s="42">
        <v>0.96319444444444446</v>
      </c>
    </row>
    <row r="17" spans="1:16">
      <c r="A17" s="2">
        <v>4</v>
      </c>
      <c r="B17" s="2" t="s">
        <v>73</v>
      </c>
      <c r="C17" s="2" t="s">
        <v>66</v>
      </c>
      <c r="D17" s="2">
        <v>0</v>
      </c>
      <c r="F17" s="2">
        <v>1</v>
      </c>
      <c r="G17" s="42">
        <v>0.72499999999999998</v>
      </c>
      <c r="J17" s="42">
        <v>0.80833333333333324</v>
      </c>
      <c r="M17" s="42">
        <v>0.89166666666666661</v>
      </c>
      <c r="P17" s="42">
        <v>0.96458333333333324</v>
      </c>
    </row>
    <row r="18" spans="1:16">
      <c r="A18" s="2">
        <v>4</v>
      </c>
      <c r="B18" s="2" t="s">
        <v>74</v>
      </c>
      <c r="C18" s="2" t="s">
        <v>66</v>
      </c>
      <c r="D18" s="2">
        <v>0</v>
      </c>
      <c r="F18" s="2">
        <v>2</v>
      </c>
      <c r="G18" s="42">
        <v>0.72777777777777775</v>
      </c>
      <c r="J18" s="42">
        <v>0.81111111111111101</v>
      </c>
      <c r="M18" s="42">
        <v>0.89444444444444438</v>
      </c>
      <c r="P18" s="42">
        <v>0.96736111111111101</v>
      </c>
    </row>
    <row r="19" spans="1:16">
      <c r="A19" s="2">
        <v>4</v>
      </c>
      <c r="B19" s="2" t="s">
        <v>75</v>
      </c>
      <c r="C19" s="2" t="s">
        <v>66</v>
      </c>
      <c r="D19" s="2">
        <v>0</v>
      </c>
      <c r="F19" s="2">
        <v>1</v>
      </c>
      <c r="G19" s="42">
        <v>0.72916666666666663</v>
      </c>
      <c r="J19" s="42">
        <v>0.8125</v>
      </c>
      <c r="M19" s="42">
        <v>0.89583333333333337</v>
      </c>
      <c r="P19" s="42">
        <v>0.96875</v>
      </c>
    </row>
    <row r="20" spans="1:16">
      <c r="A20" s="2">
        <v>4</v>
      </c>
      <c r="B20" s="2" t="s">
        <v>74</v>
      </c>
      <c r="C20" s="2" t="s">
        <v>66</v>
      </c>
      <c r="D20" s="2">
        <v>0</v>
      </c>
      <c r="F20" s="2">
        <v>1</v>
      </c>
      <c r="G20" s="42">
        <v>0.73055555555555562</v>
      </c>
      <c r="J20" s="42">
        <v>0.81388888888888899</v>
      </c>
      <c r="M20" s="42">
        <v>0.89722222222222225</v>
      </c>
      <c r="P20" s="42">
        <v>0.97013888888888899</v>
      </c>
    </row>
    <row r="21" spans="1:16">
      <c r="A21" s="2">
        <v>4</v>
      </c>
      <c r="B21" s="2" t="s">
        <v>76</v>
      </c>
      <c r="C21" s="2" t="s">
        <v>66</v>
      </c>
      <c r="D21" s="2">
        <v>0</v>
      </c>
      <c r="F21" s="2">
        <v>1</v>
      </c>
      <c r="G21" s="42">
        <v>0.73333333333333339</v>
      </c>
      <c r="J21" s="42">
        <v>0.81666666666666676</v>
      </c>
      <c r="M21" s="42">
        <v>0.9</v>
      </c>
      <c r="P21" s="42">
        <v>0.97291666666666676</v>
      </c>
    </row>
    <row r="22" spans="1:16">
      <c r="A22" s="2">
        <v>4</v>
      </c>
      <c r="B22" s="2" t="s">
        <v>77</v>
      </c>
      <c r="C22" s="2" t="s">
        <v>66</v>
      </c>
      <c r="D22" s="2">
        <v>0</v>
      </c>
      <c r="F22" s="2">
        <v>1</v>
      </c>
      <c r="G22" s="42">
        <v>0.73333333333333339</v>
      </c>
      <c r="J22" s="42">
        <v>0.81666666666666676</v>
      </c>
      <c r="M22" s="42">
        <v>0.9</v>
      </c>
      <c r="P22" s="42">
        <v>0.97291666666666676</v>
      </c>
    </row>
    <row r="23" spans="1:16">
      <c r="A23" s="2">
        <v>4</v>
      </c>
      <c r="B23" s="2" t="s">
        <v>78</v>
      </c>
      <c r="C23" s="2" t="s">
        <v>66</v>
      </c>
      <c r="D23" s="2">
        <v>0</v>
      </c>
      <c r="F23" s="2">
        <v>1</v>
      </c>
      <c r="G23" s="42">
        <v>0.73402777777777783</v>
      </c>
      <c r="J23" s="42">
        <v>0.81736111111111109</v>
      </c>
      <c r="M23" s="42">
        <v>0.90069444444444446</v>
      </c>
      <c r="P23" s="42">
        <v>0.97361111111111109</v>
      </c>
    </row>
    <row r="24" spans="1:16">
      <c r="A24" s="2">
        <v>4</v>
      </c>
      <c r="B24" s="2" t="s">
        <v>79</v>
      </c>
      <c r="C24" s="2" t="s">
        <v>66</v>
      </c>
      <c r="D24" s="2">
        <v>0</v>
      </c>
      <c r="F24" s="2">
        <v>1</v>
      </c>
      <c r="G24" s="42">
        <v>0.73472222222222217</v>
      </c>
      <c r="J24" s="42">
        <v>0.81805555555555554</v>
      </c>
      <c r="M24" s="42">
        <v>0.90138888888888891</v>
      </c>
      <c r="P24" s="42">
        <v>0.97430555555555554</v>
      </c>
    </row>
    <row r="25" spans="1:16">
      <c r="A25" s="2">
        <v>4</v>
      </c>
      <c r="B25" s="2" t="s">
        <v>80</v>
      </c>
      <c r="C25" s="2" t="s">
        <v>66</v>
      </c>
      <c r="D25" s="2">
        <v>0</v>
      </c>
      <c r="F25" s="2">
        <v>1</v>
      </c>
      <c r="G25" s="42">
        <v>0.73541666666666661</v>
      </c>
      <c r="J25" s="42">
        <v>0.81874999999999998</v>
      </c>
      <c r="M25" s="42">
        <v>0.90208333333333324</v>
      </c>
      <c r="P25" s="42">
        <v>0.97499999999999998</v>
      </c>
    </row>
    <row r="26" spans="1:16">
      <c r="A26" s="2">
        <v>4</v>
      </c>
      <c r="B26" s="2" t="s">
        <v>81</v>
      </c>
      <c r="C26" s="2" t="s">
        <v>66</v>
      </c>
      <c r="D26" s="2">
        <v>0</v>
      </c>
      <c r="F26" s="2">
        <v>1</v>
      </c>
      <c r="G26" s="42">
        <v>0.73611111111111116</v>
      </c>
      <c r="J26" s="42">
        <v>0.81944444444444453</v>
      </c>
      <c r="M26" s="42">
        <v>0.90277777777777779</v>
      </c>
      <c r="P26" s="42">
        <v>0.97569444444444453</v>
      </c>
    </row>
    <row r="27" spans="1:16">
      <c r="A27" s="2">
        <v>4</v>
      </c>
      <c r="B27" s="2" t="s">
        <v>82</v>
      </c>
      <c r="C27" s="2" t="s">
        <v>66</v>
      </c>
      <c r="D27" s="2">
        <v>0</v>
      </c>
      <c r="F27" s="2">
        <v>1</v>
      </c>
      <c r="G27" s="42">
        <v>0.73611111111111116</v>
      </c>
      <c r="J27" s="42">
        <v>0.81944444444444453</v>
      </c>
      <c r="M27" s="42">
        <v>0.90277777777777779</v>
      </c>
      <c r="P27" s="42">
        <v>0.97569444444444453</v>
      </c>
    </row>
    <row r="28" spans="1:16">
      <c r="A28" s="2">
        <v>4</v>
      </c>
      <c r="B28" s="2" t="s">
        <v>83</v>
      </c>
      <c r="C28" s="2" t="s">
        <v>66</v>
      </c>
      <c r="D28" s="2">
        <v>0</v>
      </c>
      <c r="F28" s="2">
        <v>1</v>
      </c>
      <c r="G28" s="42">
        <v>0.7368055555555556</v>
      </c>
      <c r="J28" s="42">
        <v>0.82013888888888886</v>
      </c>
      <c r="M28" s="42">
        <v>0.90347222222222223</v>
      </c>
      <c r="P28" s="42">
        <v>0.97638888888888886</v>
      </c>
    </row>
    <row r="29" spans="1:16">
      <c r="A29" s="2">
        <v>4</v>
      </c>
      <c r="B29" s="2" t="s">
        <v>84</v>
      </c>
      <c r="C29" s="2" t="s">
        <v>66</v>
      </c>
      <c r="D29" s="2">
        <v>0</v>
      </c>
      <c r="F29" s="2">
        <v>3</v>
      </c>
      <c r="G29" s="42">
        <v>0.73749999999999993</v>
      </c>
      <c r="J29" s="42">
        <v>0.8208333333333333</v>
      </c>
      <c r="M29" s="42">
        <v>0.90416666666666667</v>
      </c>
      <c r="P29" s="42">
        <v>0.9770833333333333</v>
      </c>
    </row>
    <row r="30" spans="1:16">
      <c r="A30" s="2">
        <v>4</v>
      </c>
      <c r="B30" s="2" t="s">
        <v>84</v>
      </c>
      <c r="C30" s="2" t="s">
        <v>66</v>
      </c>
      <c r="D30" s="2">
        <v>0</v>
      </c>
      <c r="F30" s="2">
        <v>1</v>
      </c>
      <c r="G30" s="42">
        <v>0.73819444444444438</v>
      </c>
      <c r="J30" s="42">
        <v>0.82152777777777775</v>
      </c>
      <c r="M30" s="42">
        <v>0.90486111111111101</v>
      </c>
      <c r="P30" s="42">
        <v>0.97777777777777775</v>
      </c>
    </row>
    <row r="31" spans="1:16">
      <c r="A31" s="2">
        <v>4</v>
      </c>
      <c r="B31" s="2" t="s">
        <v>85</v>
      </c>
      <c r="C31" s="2" t="s">
        <v>66</v>
      </c>
      <c r="D31" s="2">
        <v>0</v>
      </c>
      <c r="F31" s="2">
        <v>1</v>
      </c>
      <c r="G31" s="42">
        <v>0.73888888888888893</v>
      </c>
      <c r="J31" s="42">
        <v>0.8222222222222223</v>
      </c>
      <c r="M31" s="42">
        <v>0.90555555555555556</v>
      </c>
      <c r="P31" s="42">
        <v>0.9784722222222223</v>
      </c>
    </row>
    <row r="32" spans="1:16">
      <c r="A32" s="2">
        <v>4</v>
      </c>
      <c r="B32" s="2" t="s">
        <v>86</v>
      </c>
      <c r="C32" s="2" t="s">
        <v>66</v>
      </c>
      <c r="D32" s="2">
        <v>0</v>
      </c>
      <c r="F32" s="2">
        <v>1</v>
      </c>
      <c r="G32" s="42">
        <v>0.7402777777777777</v>
      </c>
      <c r="J32" s="42">
        <v>0.82361111111111107</v>
      </c>
      <c r="M32" s="42">
        <v>0.90694444444444444</v>
      </c>
      <c r="P32" s="42">
        <v>0.97986111111111107</v>
      </c>
    </row>
    <row r="33" spans="1:16">
      <c r="A33" s="2">
        <v>4</v>
      </c>
      <c r="B33" s="2" t="s">
        <v>87</v>
      </c>
      <c r="C33" s="2" t="s">
        <v>66</v>
      </c>
      <c r="D33" s="2">
        <v>0</v>
      </c>
      <c r="F33" s="2">
        <v>1</v>
      </c>
      <c r="G33" s="42">
        <v>0.7416666666666667</v>
      </c>
      <c r="J33" s="42">
        <v>0.82500000000000007</v>
      </c>
      <c r="M33" s="42">
        <v>0.90833333333333333</v>
      </c>
      <c r="P33" s="42">
        <v>0.98125000000000007</v>
      </c>
    </row>
    <row r="34" spans="1:16">
      <c r="A34" s="2">
        <v>4</v>
      </c>
      <c r="B34" s="2" t="s">
        <v>88</v>
      </c>
      <c r="C34" s="2" t="s">
        <v>89</v>
      </c>
      <c r="D34" s="2">
        <v>0</v>
      </c>
      <c r="F34" s="2">
        <v>3</v>
      </c>
      <c r="G34" s="42">
        <v>0.74305555555555547</v>
      </c>
      <c r="J34" s="42">
        <v>0.82638888888888884</v>
      </c>
      <c r="M34" s="42">
        <v>0.90972222222222221</v>
      </c>
      <c r="P34" s="42">
        <v>0.98263888888888884</v>
      </c>
    </row>
    <row r="35" spans="1:16">
      <c r="A35" s="2">
        <v>5</v>
      </c>
      <c r="B35" s="2" t="s">
        <v>27</v>
      </c>
      <c r="C35" s="2" t="s">
        <v>65</v>
      </c>
      <c r="D35" s="2" t="s">
        <v>46</v>
      </c>
      <c r="E35" s="2">
        <v>21</v>
      </c>
    </row>
    <row r="36" spans="1:16">
      <c r="A36" s="2">
        <v>3</v>
      </c>
      <c r="B36" s="2">
        <v>2</v>
      </c>
      <c r="C36" s="2">
        <v>374</v>
      </c>
      <c r="D36" s="2">
        <v>395</v>
      </c>
      <c r="E36" s="2">
        <v>410</v>
      </c>
    </row>
    <row r="37" spans="1:16">
      <c r="A37" s="2">
        <v>3</v>
      </c>
      <c r="B37" s="2">
        <v>1</v>
      </c>
      <c r="C37" s="2">
        <v>2</v>
      </c>
      <c r="D37" s="2">
        <v>2</v>
      </c>
      <c r="E37" s="2">
        <v>2</v>
      </c>
    </row>
    <row r="38" spans="1:16">
      <c r="A38" s="2">
        <v>3</v>
      </c>
      <c r="B38" s="2">
        <v>3</v>
      </c>
      <c r="C38" s="2">
        <v>0</v>
      </c>
      <c r="D38" s="2">
        <v>0</v>
      </c>
      <c r="E38" s="2">
        <v>0</v>
      </c>
    </row>
    <row r="39" spans="1:16">
      <c r="A39" s="2">
        <v>3</v>
      </c>
      <c r="B39" s="2">
        <v>4</v>
      </c>
      <c r="C39" s="2">
        <v>0</v>
      </c>
      <c r="D39" s="2">
        <v>0</v>
      </c>
      <c r="E39" s="2">
        <v>0</v>
      </c>
    </row>
    <row r="40" spans="1:16">
      <c r="A40" s="2">
        <v>3</v>
      </c>
      <c r="B40" s="2">
        <v>5</v>
      </c>
    </row>
    <row r="41" spans="1:16">
      <c r="A41" s="2">
        <v>3</v>
      </c>
      <c r="B41" s="2">
        <v>6</v>
      </c>
    </row>
    <row r="42" spans="1:16">
      <c r="A42" s="2">
        <v>4</v>
      </c>
      <c r="B42" s="2" t="s">
        <v>88</v>
      </c>
      <c r="C42" s="2" t="s">
        <v>66</v>
      </c>
      <c r="D42" s="2">
        <v>0</v>
      </c>
      <c r="F42" s="2">
        <v>3</v>
      </c>
      <c r="G42" s="42">
        <v>0.75694444444444453</v>
      </c>
      <c r="J42" s="42">
        <v>0.84027777777777779</v>
      </c>
      <c r="M42" s="42">
        <v>0.92361111111111116</v>
      </c>
      <c r="P42" s="2" t="s">
        <v>90</v>
      </c>
    </row>
    <row r="43" spans="1:16">
      <c r="A43" s="2">
        <v>4</v>
      </c>
      <c r="B43" s="2" t="s">
        <v>87</v>
      </c>
      <c r="C43" s="2" t="s">
        <v>66</v>
      </c>
      <c r="D43" s="2">
        <v>0</v>
      </c>
      <c r="F43" s="2">
        <v>2</v>
      </c>
      <c r="G43" s="42">
        <v>0.7583333333333333</v>
      </c>
      <c r="J43" s="42">
        <v>0.84166666666666667</v>
      </c>
      <c r="M43" s="42">
        <v>0.92499999999999993</v>
      </c>
      <c r="P43" s="2" t="s">
        <v>90</v>
      </c>
    </row>
    <row r="44" spans="1:16">
      <c r="A44" s="2">
        <v>4</v>
      </c>
      <c r="B44" s="2" t="s">
        <v>86</v>
      </c>
      <c r="C44" s="2" t="s">
        <v>66</v>
      </c>
      <c r="D44" s="2">
        <v>0</v>
      </c>
      <c r="F44" s="2">
        <v>2</v>
      </c>
      <c r="G44" s="42">
        <v>0.75902777777777775</v>
      </c>
      <c r="J44" s="42">
        <v>0.84236111111111101</v>
      </c>
      <c r="M44" s="42">
        <v>0.92569444444444438</v>
      </c>
      <c r="P44" s="2" t="s">
        <v>90</v>
      </c>
    </row>
    <row r="45" spans="1:16">
      <c r="A45" s="2">
        <v>4</v>
      </c>
      <c r="B45" s="2" t="s">
        <v>85</v>
      </c>
      <c r="C45" s="2" t="s">
        <v>66</v>
      </c>
      <c r="D45" s="2">
        <v>0</v>
      </c>
      <c r="F45" s="2">
        <v>2</v>
      </c>
      <c r="G45" s="42">
        <v>0.76041666666666663</v>
      </c>
      <c r="J45" s="42">
        <v>0.84375</v>
      </c>
      <c r="M45" s="42">
        <v>0.92708333333333337</v>
      </c>
      <c r="P45" s="2" t="s">
        <v>90</v>
      </c>
    </row>
    <row r="46" spans="1:16">
      <c r="A46" s="2">
        <v>4</v>
      </c>
      <c r="B46" s="2" t="s">
        <v>84</v>
      </c>
      <c r="C46" s="2" t="s">
        <v>66</v>
      </c>
      <c r="D46" s="2">
        <v>0</v>
      </c>
      <c r="F46" s="2">
        <v>2</v>
      </c>
      <c r="G46" s="42">
        <v>0.76111111111111107</v>
      </c>
      <c r="J46" s="42">
        <v>0.84444444444444444</v>
      </c>
      <c r="M46" s="42">
        <v>0.9277777777777777</v>
      </c>
      <c r="P46" s="2" t="s">
        <v>90</v>
      </c>
    </row>
    <row r="47" spans="1:16">
      <c r="A47" s="2">
        <v>4</v>
      </c>
      <c r="B47" s="2" t="s">
        <v>84</v>
      </c>
      <c r="C47" s="2" t="s">
        <v>66</v>
      </c>
      <c r="D47" s="2">
        <v>0</v>
      </c>
      <c r="F47" s="2">
        <v>4</v>
      </c>
      <c r="G47" s="42">
        <v>0.76111111111111107</v>
      </c>
      <c r="J47" s="42">
        <v>0.84444444444444444</v>
      </c>
      <c r="M47" s="42">
        <v>0.9277777777777777</v>
      </c>
      <c r="P47" s="2" t="s">
        <v>90</v>
      </c>
    </row>
    <row r="48" spans="1:16">
      <c r="A48" s="2">
        <v>4</v>
      </c>
      <c r="B48" s="2" t="s">
        <v>83</v>
      </c>
      <c r="C48" s="2" t="s">
        <v>66</v>
      </c>
      <c r="D48" s="2">
        <v>0</v>
      </c>
      <c r="F48" s="2">
        <v>2</v>
      </c>
      <c r="G48" s="42">
        <v>0.76180555555555562</v>
      </c>
      <c r="J48" s="42">
        <v>0.84513888888888899</v>
      </c>
      <c r="M48" s="42">
        <v>0.92847222222222225</v>
      </c>
      <c r="P48" s="2" t="s">
        <v>90</v>
      </c>
    </row>
    <row r="49" spans="1:16">
      <c r="A49" s="2">
        <v>4</v>
      </c>
      <c r="B49" s="2" t="s">
        <v>82</v>
      </c>
      <c r="C49" s="2" t="s">
        <v>66</v>
      </c>
      <c r="D49" s="2">
        <v>0</v>
      </c>
      <c r="F49" s="2">
        <v>2</v>
      </c>
      <c r="G49" s="42">
        <v>0.76250000000000007</v>
      </c>
      <c r="J49" s="42">
        <v>0.84583333333333333</v>
      </c>
      <c r="M49" s="42">
        <v>0.9291666666666667</v>
      </c>
      <c r="P49" s="2" t="s">
        <v>90</v>
      </c>
    </row>
    <row r="50" spans="1:16">
      <c r="A50" s="2">
        <v>4</v>
      </c>
      <c r="B50" s="2" t="s">
        <v>81</v>
      </c>
      <c r="C50" s="2" t="s">
        <v>66</v>
      </c>
      <c r="D50" s="2">
        <v>0</v>
      </c>
      <c r="F50" s="2">
        <v>2</v>
      </c>
      <c r="G50" s="42">
        <v>0.7631944444444444</v>
      </c>
      <c r="J50" s="42">
        <v>0.84652777777777777</v>
      </c>
      <c r="M50" s="42">
        <v>0.92986111111111114</v>
      </c>
      <c r="P50" s="2" t="s">
        <v>90</v>
      </c>
    </row>
    <row r="51" spans="1:16">
      <c r="A51" s="2">
        <v>4</v>
      </c>
      <c r="B51" s="2" t="s">
        <v>80</v>
      </c>
      <c r="C51" s="2" t="s">
        <v>66</v>
      </c>
      <c r="D51" s="2">
        <v>0</v>
      </c>
      <c r="F51" s="2">
        <v>2</v>
      </c>
      <c r="G51" s="42">
        <v>0.76388888888888884</v>
      </c>
      <c r="J51" s="42">
        <v>0.84722222222222221</v>
      </c>
      <c r="M51" s="42">
        <v>0.93055555555555547</v>
      </c>
      <c r="P51" s="2" t="s">
        <v>90</v>
      </c>
    </row>
    <row r="52" spans="1:16">
      <c r="A52" s="2">
        <v>4</v>
      </c>
      <c r="B52" s="2" t="s">
        <v>79</v>
      </c>
      <c r="C52" s="2" t="s">
        <v>66</v>
      </c>
      <c r="D52" s="2">
        <v>0</v>
      </c>
      <c r="F52" s="2">
        <v>2</v>
      </c>
      <c r="G52" s="42">
        <v>0.76388888888888884</v>
      </c>
      <c r="J52" s="42">
        <v>0.84722222222222221</v>
      </c>
      <c r="M52" s="42">
        <v>0.93055555555555547</v>
      </c>
      <c r="P52" s="2" t="s">
        <v>90</v>
      </c>
    </row>
    <row r="53" spans="1:16">
      <c r="A53" s="2">
        <v>4</v>
      </c>
      <c r="B53" s="2" t="s">
        <v>78</v>
      </c>
      <c r="C53" s="2" t="s">
        <v>66</v>
      </c>
      <c r="D53" s="2">
        <v>0</v>
      </c>
      <c r="F53" s="2">
        <v>2</v>
      </c>
      <c r="G53" s="42">
        <v>0.76458333333333339</v>
      </c>
      <c r="J53" s="42">
        <v>0.84791666666666676</v>
      </c>
      <c r="M53" s="42">
        <v>0.93125000000000002</v>
      </c>
      <c r="P53" s="2" t="s">
        <v>90</v>
      </c>
    </row>
    <row r="54" spans="1:16">
      <c r="A54" s="2">
        <v>4</v>
      </c>
      <c r="B54" s="2" t="s">
        <v>77</v>
      </c>
      <c r="C54" s="2" t="s">
        <v>66</v>
      </c>
      <c r="D54" s="2">
        <v>0</v>
      </c>
      <c r="F54" s="2">
        <v>2</v>
      </c>
      <c r="G54" s="42">
        <v>0.76527777777777783</v>
      </c>
      <c r="J54" s="42">
        <v>0.84861111111111109</v>
      </c>
      <c r="M54" s="42">
        <v>0.93194444444444446</v>
      </c>
      <c r="P54" s="2" t="s">
        <v>90</v>
      </c>
    </row>
    <row r="55" spans="1:16">
      <c r="A55" s="2">
        <v>4</v>
      </c>
      <c r="B55" s="2" t="s">
        <v>76</v>
      </c>
      <c r="C55" s="2" t="s">
        <v>66</v>
      </c>
      <c r="D55" s="2">
        <v>0</v>
      </c>
      <c r="F55" s="2">
        <v>2</v>
      </c>
      <c r="G55" s="42">
        <v>0.76597222222222217</v>
      </c>
      <c r="J55" s="42">
        <v>0.84930555555555554</v>
      </c>
      <c r="M55" s="42">
        <v>0.93263888888888891</v>
      </c>
      <c r="P55" s="2" t="s">
        <v>90</v>
      </c>
    </row>
    <row r="56" spans="1:16">
      <c r="A56" s="2">
        <v>4</v>
      </c>
      <c r="B56" s="2" t="s">
        <v>74</v>
      </c>
      <c r="C56" s="2" t="s">
        <v>66</v>
      </c>
      <c r="D56" s="2">
        <v>0</v>
      </c>
      <c r="F56" s="2">
        <v>2</v>
      </c>
      <c r="G56" s="42">
        <v>0.7680555555555556</v>
      </c>
      <c r="J56" s="42">
        <v>0.85138888888888886</v>
      </c>
      <c r="M56" s="42">
        <v>0.93472222222222223</v>
      </c>
      <c r="P56" s="2" t="s">
        <v>90</v>
      </c>
    </row>
    <row r="57" spans="1:16">
      <c r="A57" s="2">
        <v>4</v>
      </c>
      <c r="B57" s="2" t="s">
        <v>75</v>
      </c>
      <c r="C57" s="2" t="s">
        <v>66</v>
      </c>
      <c r="D57" s="2">
        <v>0</v>
      </c>
      <c r="F57" s="2">
        <v>1</v>
      </c>
      <c r="G57" s="42">
        <v>0.76944444444444438</v>
      </c>
      <c r="J57" s="42">
        <v>0.85277777777777775</v>
      </c>
      <c r="M57" s="42">
        <v>0.93611111111111101</v>
      </c>
      <c r="P57" s="2" t="s">
        <v>90</v>
      </c>
    </row>
    <row r="58" spans="1:16">
      <c r="A58" s="2">
        <v>4</v>
      </c>
      <c r="B58" s="2" t="s">
        <v>74</v>
      </c>
      <c r="C58" s="2" t="s">
        <v>66</v>
      </c>
      <c r="D58" s="2">
        <v>0</v>
      </c>
      <c r="F58" s="2">
        <v>1</v>
      </c>
      <c r="G58" s="42">
        <v>0.77083333333333337</v>
      </c>
      <c r="J58" s="42">
        <v>0.85416666666666663</v>
      </c>
      <c r="M58" s="42">
        <v>0.9375</v>
      </c>
      <c r="P58" s="2" t="s">
        <v>90</v>
      </c>
    </row>
    <row r="59" spans="1:16">
      <c r="A59" s="2">
        <v>4</v>
      </c>
      <c r="B59" s="2" t="s">
        <v>73</v>
      </c>
      <c r="C59" s="2" t="s">
        <v>66</v>
      </c>
      <c r="D59" s="2">
        <v>0</v>
      </c>
      <c r="F59" s="2">
        <v>2</v>
      </c>
      <c r="G59" s="42">
        <v>0.77361111111111114</v>
      </c>
      <c r="J59" s="42">
        <v>0.8569444444444444</v>
      </c>
      <c r="M59" s="42">
        <v>0.94027777777777777</v>
      </c>
      <c r="P59" s="2" t="s">
        <v>90</v>
      </c>
    </row>
    <row r="60" spans="1:16">
      <c r="A60" s="2">
        <v>4</v>
      </c>
      <c r="B60" s="2" t="s">
        <v>72</v>
      </c>
      <c r="C60" s="2" t="s">
        <v>66</v>
      </c>
      <c r="D60" s="2">
        <v>0</v>
      </c>
      <c r="F60" s="2">
        <v>4</v>
      </c>
      <c r="G60" s="42">
        <v>0.77500000000000002</v>
      </c>
      <c r="J60" s="42">
        <v>0.85833333333333339</v>
      </c>
      <c r="M60" s="42">
        <v>0.94166666666666676</v>
      </c>
      <c r="P60" s="2" t="s">
        <v>90</v>
      </c>
    </row>
    <row r="61" spans="1:16">
      <c r="A61" s="2">
        <v>4</v>
      </c>
      <c r="B61" s="2" t="s">
        <v>71</v>
      </c>
      <c r="C61" s="2" t="s">
        <v>66</v>
      </c>
      <c r="D61" s="2">
        <v>0</v>
      </c>
      <c r="F61" s="2">
        <v>2</v>
      </c>
      <c r="G61" s="42">
        <v>0.77638888888888891</v>
      </c>
      <c r="J61" s="42">
        <v>0.85972222222222217</v>
      </c>
      <c r="M61" s="42">
        <v>0.94305555555555554</v>
      </c>
      <c r="P61" s="2" t="s">
        <v>90</v>
      </c>
    </row>
    <row r="62" spans="1:16">
      <c r="A62" s="2">
        <v>4</v>
      </c>
      <c r="B62" s="2" t="s">
        <v>70</v>
      </c>
      <c r="C62" s="2" t="s">
        <v>66</v>
      </c>
      <c r="D62" s="2">
        <v>0</v>
      </c>
      <c r="F62" s="2">
        <v>2</v>
      </c>
      <c r="G62" s="42">
        <v>0.77708333333333324</v>
      </c>
      <c r="J62" s="42">
        <v>0.86041666666666661</v>
      </c>
      <c r="M62" s="42">
        <v>0.94374999999999998</v>
      </c>
      <c r="P62" s="2" t="s">
        <v>90</v>
      </c>
    </row>
    <row r="63" spans="1:16">
      <c r="A63" s="2">
        <v>4</v>
      </c>
      <c r="B63" s="2" t="s">
        <v>69</v>
      </c>
      <c r="C63" s="2" t="s">
        <v>66</v>
      </c>
      <c r="D63" s="2">
        <v>0</v>
      </c>
      <c r="F63" s="2">
        <v>2</v>
      </c>
      <c r="G63" s="42">
        <v>0.77777777777777779</v>
      </c>
      <c r="J63" s="42">
        <v>0.86111111111111116</v>
      </c>
      <c r="M63" s="42">
        <v>0.94444444444444453</v>
      </c>
      <c r="P63" s="2" t="s">
        <v>90</v>
      </c>
    </row>
    <row r="64" spans="1:16">
      <c r="A64" s="2">
        <v>4</v>
      </c>
      <c r="B64" s="2" t="s">
        <v>68</v>
      </c>
      <c r="C64" s="2" t="s">
        <v>66</v>
      </c>
      <c r="D64" s="2">
        <v>0</v>
      </c>
      <c r="F64" s="2">
        <v>1</v>
      </c>
      <c r="G64" s="42">
        <v>0.78194444444444444</v>
      </c>
      <c r="J64" s="42">
        <v>0.8652777777777777</v>
      </c>
      <c r="M64" s="42">
        <v>0.94861111111111107</v>
      </c>
      <c r="P64" s="2" t="s">
        <v>90</v>
      </c>
    </row>
    <row r="65" spans="1:16">
      <c r="A65" s="2">
        <v>4</v>
      </c>
      <c r="B65" s="2" t="s">
        <v>91</v>
      </c>
      <c r="C65" s="2" t="s">
        <v>66</v>
      </c>
      <c r="D65" s="2">
        <v>0</v>
      </c>
      <c r="F65" s="2">
        <v>11</v>
      </c>
      <c r="G65" s="42">
        <v>0.78263888888888899</v>
      </c>
      <c r="J65" s="42">
        <v>0.86597222222222225</v>
      </c>
      <c r="M65" s="42">
        <v>0.94930555555555562</v>
      </c>
      <c r="P65" s="2" t="s">
        <v>90</v>
      </c>
    </row>
    <row r="66" spans="1:16">
      <c r="A66" s="2">
        <v>4</v>
      </c>
      <c r="B66" s="2" t="s">
        <v>64</v>
      </c>
      <c r="C66" s="2" t="s">
        <v>89</v>
      </c>
      <c r="D66" s="2">
        <v>0</v>
      </c>
      <c r="F66" s="2">
        <v>1</v>
      </c>
      <c r="G66" s="42">
        <v>0.78402777777777777</v>
      </c>
      <c r="J66" s="42">
        <v>0.86736111111111114</v>
      </c>
      <c r="M66" s="42">
        <v>0.9506944444444444</v>
      </c>
      <c r="P66" s="2" t="s">
        <v>90</v>
      </c>
    </row>
    <row r="67" spans="1:16">
      <c r="A67" s="2">
        <v>2</v>
      </c>
      <c r="B67" s="2" t="s">
        <v>92</v>
      </c>
      <c r="C67" s="2">
        <v>21</v>
      </c>
      <c r="D67" s="2" t="s">
        <v>29</v>
      </c>
      <c r="E67" s="2">
        <v>40</v>
      </c>
      <c r="F67" s="2">
        <v>14</v>
      </c>
      <c r="G67" s="2">
        <v>3</v>
      </c>
      <c r="H67" s="2">
        <v>790</v>
      </c>
    </row>
    <row r="68" spans="1:16">
      <c r="A68" s="2">
        <v>3</v>
      </c>
      <c r="B68" s="2">
        <v>2</v>
      </c>
      <c r="C68" s="2">
        <v>3</v>
      </c>
      <c r="D68" s="2">
        <v>11</v>
      </c>
    </row>
    <row r="69" spans="1:16">
      <c r="A69" s="2">
        <v>3</v>
      </c>
      <c r="B69" s="2">
        <v>1</v>
      </c>
      <c r="C69" s="2">
        <v>131</v>
      </c>
      <c r="D69" s="2">
        <v>1</v>
      </c>
    </row>
    <row r="70" spans="1:16">
      <c r="A70" s="2">
        <v>3</v>
      </c>
      <c r="B70" s="2">
        <v>3</v>
      </c>
      <c r="C70" s="2">
        <v>0</v>
      </c>
      <c r="D70" s="2">
        <v>0</v>
      </c>
    </row>
    <row r="71" spans="1:16">
      <c r="A71" s="2">
        <v>3</v>
      </c>
      <c r="B71" s="2">
        <v>4</v>
      </c>
      <c r="C71" s="2">
        <v>3</v>
      </c>
      <c r="D71" s="2">
        <v>0</v>
      </c>
    </row>
    <row r="72" spans="1:16">
      <c r="A72" s="2">
        <v>3</v>
      </c>
      <c r="B72" s="2">
        <v>5</v>
      </c>
    </row>
    <row r="73" spans="1:16">
      <c r="A73" s="2">
        <v>3</v>
      </c>
      <c r="B73" s="2">
        <v>6</v>
      </c>
    </row>
    <row r="74" spans="1:16">
      <c r="A74" s="2">
        <v>4</v>
      </c>
      <c r="B74" s="2" t="s">
        <v>88</v>
      </c>
      <c r="C74" s="2" t="s">
        <v>89</v>
      </c>
      <c r="D74" s="2">
        <v>0</v>
      </c>
      <c r="F74" s="2">
        <v>3</v>
      </c>
      <c r="G74" s="43">
        <v>1</v>
      </c>
      <c r="J74" s="2" t="s">
        <v>90</v>
      </c>
    </row>
    <row r="75" spans="1:16">
      <c r="A75" s="2">
        <v>4</v>
      </c>
      <c r="B75" s="2" t="s">
        <v>93</v>
      </c>
      <c r="C75" s="2" t="s">
        <v>66</v>
      </c>
      <c r="D75" s="2">
        <v>0</v>
      </c>
      <c r="F75" s="2">
        <v>6</v>
      </c>
      <c r="G75" s="42">
        <v>1.3888888888888888E-2</v>
      </c>
      <c r="J75" s="42">
        <v>7.9861111111111105E-2</v>
      </c>
    </row>
    <row r="76" spans="1:16">
      <c r="A76" s="2">
        <v>4</v>
      </c>
      <c r="B76" s="2" t="s">
        <v>94</v>
      </c>
      <c r="C76" s="2" t="s">
        <v>66</v>
      </c>
      <c r="D76" s="2">
        <v>0</v>
      </c>
      <c r="F76" s="2">
        <v>1</v>
      </c>
      <c r="G76" s="2" t="s">
        <v>90</v>
      </c>
      <c r="J76" s="42">
        <v>8.0555555555555561E-2</v>
      </c>
    </row>
    <row r="77" spans="1:16">
      <c r="A77" s="2">
        <v>4</v>
      </c>
      <c r="B77" s="2" t="s">
        <v>68</v>
      </c>
      <c r="C77" s="2" t="s">
        <v>66</v>
      </c>
      <c r="D77" s="2">
        <v>0</v>
      </c>
      <c r="F77" s="2">
        <v>1</v>
      </c>
      <c r="G77" s="2" t="s">
        <v>90</v>
      </c>
      <c r="J77" s="42">
        <v>8.2638888888888887E-2</v>
      </c>
    </row>
    <row r="78" spans="1:16">
      <c r="A78" s="2">
        <v>4</v>
      </c>
      <c r="B78" s="2" t="s">
        <v>91</v>
      </c>
      <c r="C78" s="2" t="s">
        <v>66</v>
      </c>
      <c r="D78" s="2">
        <v>0</v>
      </c>
      <c r="F78" s="2">
        <v>11</v>
      </c>
      <c r="G78" s="2" t="s">
        <v>90</v>
      </c>
      <c r="J78" s="42">
        <v>8.3333333333333329E-2</v>
      </c>
    </row>
    <row r="79" spans="1:16">
      <c r="A79" s="2">
        <v>4</v>
      </c>
      <c r="B79" s="2" t="s">
        <v>64</v>
      </c>
      <c r="C79" s="2" t="s">
        <v>66</v>
      </c>
      <c r="D79" s="2">
        <v>0</v>
      </c>
      <c r="F79" s="2">
        <v>1</v>
      </c>
      <c r="G79" s="2" t="s">
        <v>90</v>
      </c>
      <c r="J79" s="42">
        <v>8.4722222222222213E-2</v>
      </c>
    </row>
    <row r="80" spans="1:16">
      <c r="A80" s="2">
        <v>4</v>
      </c>
      <c r="B80" s="2" t="s">
        <v>95</v>
      </c>
      <c r="C80" s="2" t="s">
        <v>66</v>
      </c>
      <c r="D80" s="2">
        <v>0</v>
      </c>
      <c r="F80" s="2">
        <v>2</v>
      </c>
      <c r="G80" s="2" t="s">
        <v>90</v>
      </c>
      <c r="J80" s="42">
        <v>8.6111111111111124E-2</v>
      </c>
    </row>
    <row r="81" spans="1:10">
      <c r="A81" s="2">
        <v>4</v>
      </c>
      <c r="B81" s="2" t="s">
        <v>96</v>
      </c>
      <c r="C81" s="2" t="s">
        <v>66</v>
      </c>
      <c r="D81" s="2">
        <v>0</v>
      </c>
      <c r="F81" s="2">
        <v>2</v>
      </c>
      <c r="G81" s="2" t="s">
        <v>90</v>
      </c>
      <c r="J81" s="42">
        <v>8.6805555555555566E-2</v>
      </c>
    </row>
    <row r="82" spans="1:10">
      <c r="A82" s="2">
        <v>4</v>
      </c>
      <c r="B82" s="2" t="s">
        <v>97</v>
      </c>
      <c r="C82" s="2" t="s">
        <v>66</v>
      </c>
      <c r="D82" s="2">
        <v>0</v>
      </c>
      <c r="F82" s="2">
        <v>2</v>
      </c>
      <c r="G82" s="2" t="s">
        <v>90</v>
      </c>
      <c r="J82" s="42">
        <v>8.7500000000000008E-2</v>
      </c>
    </row>
    <row r="83" spans="1:10">
      <c r="A83" s="2">
        <v>4</v>
      </c>
      <c r="B83" s="2" t="s">
        <v>98</v>
      </c>
      <c r="C83" s="2" t="s">
        <v>66</v>
      </c>
      <c r="D83" s="2">
        <v>2</v>
      </c>
      <c r="E83" s="2" t="s">
        <v>99</v>
      </c>
      <c r="F83" s="2">
        <v>3</v>
      </c>
      <c r="G83" s="2" t="s">
        <v>90</v>
      </c>
      <c r="J83" s="42">
        <v>8.819444444444445E-2</v>
      </c>
    </row>
    <row r="84" spans="1:10">
      <c r="A84" s="2">
        <v>4</v>
      </c>
      <c r="B84" s="2" t="s">
        <v>100</v>
      </c>
      <c r="C84" s="2" t="s">
        <v>66</v>
      </c>
      <c r="D84" s="2">
        <v>0</v>
      </c>
      <c r="F84" s="2">
        <v>1</v>
      </c>
      <c r="G84" s="2" t="s">
        <v>90</v>
      </c>
      <c r="J84" s="42">
        <v>8.8888888888888892E-2</v>
      </c>
    </row>
    <row r="85" spans="1:10">
      <c r="A85" s="2">
        <v>4</v>
      </c>
      <c r="B85" s="2" t="s">
        <v>101</v>
      </c>
      <c r="C85" s="2" t="s">
        <v>66</v>
      </c>
      <c r="D85" s="2">
        <v>0</v>
      </c>
      <c r="F85" s="2">
        <v>2</v>
      </c>
      <c r="G85" s="2" t="s">
        <v>90</v>
      </c>
      <c r="J85" s="42">
        <v>8.9583333333333334E-2</v>
      </c>
    </row>
    <row r="86" spans="1:10">
      <c r="A86" s="2">
        <v>4</v>
      </c>
      <c r="B86" s="2" t="s">
        <v>102</v>
      </c>
      <c r="C86" s="2" t="s">
        <v>66</v>
      </c>
      <c r="D86" s="2">
        <v>0</v>
      </c>
      <c r="F86" s="2">
        <v>3</v>
      </c>
      <c r="G86" s="2" t="s">
        <v>90</v>
      </c>
      <c r="J86" s="42">
        <v>9.0972222222222218E-2</v>
      </c>
    </row>
    <row r="87" spans="1:10">
      <c r="A87" s="2">
        <v>4</v>
      </c>
      <c r="B87" s="2" t="s">
        <v>103</v>
      </c>
      <c r="C87" s="2" t="s">
        <v>66</v>
      </c>
      <c r="D87" s="2">
        <v>0</v>
      </c>
      <c r="F87" s="2">
        <v>2</v>
      </c>
      <c r="G87" s="2" t="s">
        <v>90</v>
      </c>
      <c r="J87" s="42">
        <v>9.1666666666666674E-2</v>
      </c>
    </row>
    <row r="88" spans="1:10">
      <c r="A88" s="2">
        <v>4</v>
      </c>
      <c r="B88" s="2" t="s">
        <v>104</v>
      </c>
      <c r="C88" s="2" t="s">
        <v>66</v>
      </c>
      <c r="D88" s="2">
        <v>0</v>
      </c>
      <c r="F88" s="2">
        <v>2</v>
      </c>
      <c r="G88" s="2" t="s">
        <v>90</v>
      </c>
      <c r="J88" s="42">
        <v>9.2361111111111116E-2</v>
      </c>
    </row>
    <row r="89" spans="1:10">
      <c r="A89" s="2">
        <v>4</v>
      </c>
      <c r="B89" s="2" t="s">
        <v>105</v>
      </c>
      <c r="C89" s="2" t="s">
        <v>66</v>
      </c>
      <c r="D89" s="2">
        <v>0</v>
      </c>
      <c r="F89" s="2">
        <v>2</v>
      </c>
      <c r="G89" s="2" t="s">
        <v>90</v>
      </c>
      <c r="J89" s="42">
        <v>9.375E-2</v>
      </c>
    </row>
    <row r="90" spans="1:10">
      <c r="A90" s="2">
        <v>4</v>
      </c>
      <c r="B90" s="2" t="s">
        <v>106</v>
      </c>
      <c r="C90" s="2" t="s">
        <v>66</v>
      </c>
      <c r="D90" s="2">
        <v>0</v>
      </c>
      <c r="F90" s="2">
        <v>2</v>
      </c>
      <c r="G90" s="2" t="s">
        <v>90</v>
      </c>
      <c r="J90" s="42">
        <v>9.5138888888888884E-2</v>
      </c>
    </row>
    <row r="91" spans="1:10">
      <c r="A91" s="2">
        <v>4</v>
      </c>
      <c r="B91" s="2" t="s">
        <v>107</v>
      </c>
      <c r="C91" s="2" t="s">
        <v>89</v>
      </c>
      <c r="D91" s="2">
        <v>0</v>
      </c>
      <c r="F91" s="2">
        <v>1</v>
      </c>
      <c r="G91" s="2" t="s">
        <v>90</v>
      </c>
      <c r="J91" s="42">
        <v>9.6527777777777768E-2</v>
      </c>
    </row>
    <row r="92" spans="1:10">
      <c r="A92" s="2">
        <v>2</v>
      </c>
      <c r="B92" s="2" t="s">
        <v>92</v>
      </c>
      <c r="C92" s="2">
        <v>21</v>
      </c>
      <c r="D92" s="2" t="s">
        <v>29</v>
      </c>
      <c r="E92" s="2">
        <v>54</v>
      </c>
      <c r="F92" s="2">
        <v>14</v>
      </c>
      <c r="G92" s="2">
        <v>3</v>
      </c>
      <c r="H92" s="2">
        <v>790</v>
      </c>
    </row>
    <row r="93" spans="1:10">
      <c r="A93" s="2">
        <v>3</v>
      </c>
      <c r="B93" s="2">
        <v>2</v>
      </c>
      <c r="E93" s="2">
        <v>15</v>
      </c>
    </row>
    <row r="94" spans="1:10">
      <c r="A94" s="2">
        <v>3</v>
      </c>
      <c r="B94" s="2">
        <v>1</v>
      </c>
      <c r="E94" s="2">
        <v>1</v>
      </c>
    </row>
    <row r="95" spans="1:10">
      <c r="A95" s="2">
        <v>3</v>
      </c>
      <c r="B95" s="2">
        <v>3</v>
      </c>
      <c r="E95" s="2">
        <v>0</v>
      </c>
    </row>
    <row r="96" spans="1:10">
      <c r="A96" s="2">
        <v>3</v>
      </c>
      <c r="B96" s="2">
        <v>4</v>
      </c>
      <c r="E96" s="2">
        <v>0</v>
      </c>
    </row>
    <row r="97" spans="1:13">
      <c r="A97" s="2">
        <v>3</v>
      </c>
      <c r="B97" s="2">
        <v>5</v>
      </c>
    </row>
    <row r="98" spans="1:13">
      <c r="A98" s="2">
        <v>3</v>
      </c>
      <c r="B98" s="2">
        <v>6</v>
      </c>
    </row>
    <row r="99" spans="1:13">
      <c r="A99" s="2">
        <v>4</v>
      </c>
      <c r="B99" s="2" t="s">
        <v>93</v>
      </c>
      <c r="C99" s="2" t="s">
        <v>66</v>
      </c>
      <c r="D99" s="2">
        <v>0</v>
      </c>
      <c r="F99" s="2">
        <v>6</v>
      </c>
      <c r="G99" s="2" t="s">
        <v>90</v>
      </c>
      <c r="J99" s="2" t="s">
        <v>90</v>
      </c>
      <c r="M99" s="42">
        <v>0.12152777777777778</v>
      </c>
    </row>
    <row r="100" spans="1:13">
      <c r="A100" s="2">
        <v>4</v>
      </c>
      <c r="B100" s="2" t="s">
        <v>94</v>
      </c>
      <c r="C100" s="2" t="s">
        <v>66</v>
      </c>
      <c r="D100" s="2">
        <v>0</v>
      </c>
      <c r="F100" s="2">
        <v>1</v>
      </c>
      <c r="G100" s="2" t="s">
        <v>90</v>
      </c>
      <c r="J100" s="2" t="s">
        <v>90</v>
      </c>
      <c r="M100" s="42">
        <v>0.12222222222222223</v>
      </c>
    </row>
    <row r="101" spans="1:13">
      <c r="A101" s="2">
        <v>4</v>
      </c>
      <c r="B101" s="2" t="s">
        <v>68</v>
      </c>
      <c r="C101" s="2" t="s">
        <v>66</v>
      </c>
      <c r="D101" s="2">
        <v>0</v>
      </c>
      <c r="F101" s="2">
        <v>1</v>
      </c>
      <c r="G101" s="2" t="s">
        <v>90</v>
      </c>
      <c r="J101" s="2" t="s">
        <v>90</v>
      </c>
      <c r="M101" s="42">
        <v>0.12430555555555556</v>
      </c>
    </row>
    <row r="102" spans="1:13">
      <c r="A102" s="2">
        <v>4</v>
      </c>
      <c r="B102" s="2" t="s">
        <v>91</v>
      </c>
      <c r="C102" s="2" t="s">
        <v>66</v>
      </c>
      <c r="D102" s="2">
        <v>0</v>
      </c>
      <c r="F102" s="2">
        <v>11</v>
      </c>
      <c r="G102" s="2" t="s">
        <v>90</v>
      </c>
      <c r="J102" s="2" t="s">
        <v>90</v>
      </c>
      <c r="M102" s="42">
        <v>0.125</v>
      </c>
    </row>
    <row r="103" spans="1:13">
      <c r="A103" s="2">
        <v>4</v>
      </c>
      <c r="B103" s="2" t="s">
        <v>64</v>
      </c>
      <c r="C103" s="2" t="s">
        <v>66</v>
      </c>
      <c r="D103" s="2">
        <v>0</v>
      </c>
      <c r="F103" s="2">
        <v>1</v>
      </c>
      <c r="G103" s="2" t="s">
        <v>90</v>
      </c>
      <c r="J103" s="2" t="s">
        <v>90</v>
      </c>
      <c r="M103" s="42">
        <v>0.12638888888888888</v>
      </c>
    </row>
    <row r="104" spans="1:13">
      <c r="A104" s="2">
        <v>4</v>
      </c>
      <c r="B104" s="2" t="s">
        <v>95</v>
      </c>
      <c r="C104" s="2" t="s">
        <v>66</v>
      </c>
      <c r="D104" s="2">
        <v>0</v>
      </c>
      <c r="F104" s="2">
        <v>2</v>
      </c>
      <c r="G104" s="2" t="s">
        <v>90</v>
      </c>
      <c r="J104" s="2" t="s">
        <v>90</v>
      </c>
      <c r="M104" s="42">
        <v>0.1277777777777778</v>
      </c>
    </row>
    <row r="105" spans="1:13">
      <c r="A105" s="2">
        <v>4</v>
      </c>
      <c r="B105" s="2" t="s">
        <v>96</v>
      </c>
      <c r="C105" s="2" t="s">
        <v>66</v>
      </c>
      <c r="D105" s="2">
        <v>0</v>
      </c>
      <c r="F105" s="2">
        <v>2</v>
      </c>
      <c r="G105" s="2" t="s">
        <v>90</v>
      </c>
      <c r="J105" s="2" t="s">
        <v>90</v>
      </c>
      <c r="M105" s="42">
        <v>0.12847222222222224</v>
      </c>
    </row>
    <row r="106" spans="1:13">
      <c r="A106" s="2">
        <v>4</v>
      </c>
      <c r="B106" s="2" t="s">
        <v>97</v>
      </c>
      <c r="C106" s="2" t="s">
        <v>66</v>
      </c>
      <c r="D106" s="2">
        <v>0</v>
      </c>
      <c r="F106" s="2">
        <v>2</v>
      </c>
      <c r="G106" s="2" t="s">
        <v>90</v>
      </c>
      <c r="J106" s="2" t="s">
        <v>90</v>
      </c>
      <c r="M106" s="42">
        <v>0.12916666666666668</v>
      </c>
    </row>
    <row r="107" spans="1:13">
      <c r="A107" s="2">
        <v>4</v>
      </c>
      <c r="B107" s="2" t="s">
        <v>98</v>
      </c>
      <c r="C107" s="2" t="s">
        <v>66</v>
      </c>
      <c r="D107" s="2">
        <v>2</v>
      </c>
      <c r="E107" s="2" t="s">
        <v>99</v>
      </c>
      <c r="F107" s="2">
        <v>3</v>
      </c>
      <c r="G107" s="2" t="s">
        <v>90</v>
      </c>
      <c r="J107" s="2" t="s">
        <v>90</v>
      </c>
      <c r="M107" s="42">
        <v>0.12986111111111112</v>
      </c>
    </row>
    <row r="108" spans="1:13">
      <c r="A108" s="2">
        <v>4</v>
      </c>
      <c r="B108" s="2" t="s">
        <v>100</v>
      </c>
      <c r="C108" s="2" t="s">
        <v>66</v>
      </c>
      <c r="D108" s="2">
        <v>0</v>
      </c>
      <c r="F108" s="2">
        <v>1</v>
      </c>
      <c r="G108" s="2" t="s">
        <v>90</v>
      </c>
      <c r="J108" s="2" t="s">
        <v>90</v>
      </c>
      <c r="M108" s="42">
        <v>0.13055555555555556</v>
      </c>
    </row>
    <row r="109" spans="1:13">
      <c r="A109" s="2">
        <v>4</v>
      </c>
      <c r="B109" s="2" t="s">
        <v>101</v>
      </c>
      <c r="C109" s="2" t="s">
        <v>66</v>
      </c>
      <c r="D109" s="2">
        <v>0</v>
      </c>
      <c r="F109" s="2">
        <v>2</v>
      </c>
      <c r="G109" s="2" t="s">
        <v>90</v>
      </c>
      <c r="J109" s="2" t="s">
        <v>90</v>
      </c>
      <c r="M109" s="42">
        <v>0.13125000000000001</v>
      </c>
    </row>
    <row r="110" spans="1:13">
      <c r="A110" s="2">
        <v>4</v>
      </c>
      <c r="B110" s="2" t="s">
        <v>102</v>
      </c>
      <c r="C110" s="2" t="s">
        <v>66</v>
      </c>
      <c r="D110" s="2">
        <v>0</v>
      </c>
      <c r="F110" s="2">
        <v>3</v>
      </c>
      <c r="G110" s="2" t="s">
        <v>90</v>
      </c>
      <c r="J110" s="2" t="s">
        <v>90</v>
      </c>
      <c r="M110" s="42">
        <v>0.13263888888888889</v>
      </c>
    </row>
    <row r="111" spans="1:13">
      <c r="A111" s="2">
        <v>4</v>
      </c>
      <c r="B111" s="2" t="s">
        <v>103</v>
      </c>
      <c r="C111" s="2" t="s">
        <v>66</v>
      </c>
      <c r="D111" s="2">
        <v>0</v>
      </c>
      <c r="F111" s="2">
        <v>2</v>
      </c>
      <c r="G111" s="2" t="s">
        <v>90</v>
      </c>
      <c r="J111" s="2" t="s">
        <v>90</v>
      </c>
      <c r="M111" s="42">
        <v>0.13333333333333333</v>
      </c>
    </row>
    <row r="112" spans="1:13">
      <c r="A112" s="2">
        <v>4</v>
      </c>
      <c r="B112" s="2" t="s">
        <v>104</v>
      </c>
      <c r="C112" s="2" t="s">
        <v>66</v>
      </c>
      <c r="D112" s="2">
        <v>0</v>
      </c>
      <c r="F112" s="2">
        <v>2</v>
      </c>
      <c r="G112" s="2" t="s">
        <v>90</v>
      </c>
      <c r="J112" s="2" t="s">
        <v>90</v>
      </c>
      <c r="M112" s="42">
        <v>0.13402777777777777</v>
      </c>
    </row>
    <row r="113" spans="1:13">
      <c r="A113" s="2">
        <v>4</v>
      </c>
      <c r="B113" s="2" t="s">
        <v>105</v>
      </c>
      <c r="C113" s="2" t="s">
        <v>66</v>
      </c>
      <c r="D113" s="2">
        <v>0</v>
      </c>
      <c r="F113" s="2">
        <v>2</v>
      </c>
      <c r="G113" s="2" t="s">
        <v>90</v>
      </c>
      <c r="J113" s="2" t="s">
        <v>90</v>
      </c>
      <c r="M113" s="42">
        <v>0.13541666666666666</v>
      </c>
    </row>
    <row r="114" spans="1:13">
      <c r="A114" s="2">
        <v>4</v>
      </c>
      <c r="B114" s="2" t="s">
        <v>106</v>
      </c>
      <c r="C114" s="2" t="s">
        <v>66</v>
      </c>
      <c r="D114" s="2">
        <v>0</v>
      </c>
      <c r="F114" s="2">
        <v>2</v>
      </c>
      <c r="G114" s="2" t="s">
        <v>90</v>
      </c>
      <c r="J114" s="2" t="s">
        <v>90</v>
      </c>
      <c r="M114" s="42">
        <v>0.13680555555555554</v>
      </c>
    </row>
    <row r="115" spans="1:13">
      <c r="A115" s="2">
        <v>4</v>
      </c>
      <c r="B115" s="2" t="s">
        <v>107</v>
      </c>
      <c r="C115" s="2" t="s">
        <v>89</v>
      </c>
      <c r="D115" s="2">
        <v>0</v>
      </c>
      <c r="F115" s="2">
        <v>1</v>
      </c>
      <c r="G115" s="2" t="s">
        <v>90</v>
      </c>
      <c r="J115" s="2" t="s">
        <v>90</v>
      </c>
      <c r="M115" s="42">
        <v>0.13819444444444443</v>
      </c>
    </row>
    <row r="116" spans="1:13">
      <c r="A116" s="2">
        <v>5</v>
      </c>
      <c r="B116" s="2" t="s">
        <v>27</v>
      </c>
      <c r="C116" s="2" t="s">
        <v>92</v>
      </c>
      <c r="D116" s="2" t="s">
        <v>29</v>
      </c>
      <c r="E116" s="2">
        <v>21</v>
      </c>
    </row>
    <row r="117" spans="1:13">
      <c r="A117" s="2">
        <v>3</v>
      </c>
      <c r="B117" s="2">
        <v>2</v>
      </c>
      <c r="C117" s="2">
        <v>19</v>
      </c>
      <c r="D117" s="2">
        <v>20</v>
      </c>
      <c r="E117" s="2">
        <v>27</v>
      </c>
    </row>
    <row r="118" spans="1:13">
      <c r="A118" s="2">
        <v>3</v>
      </c>
      <c r="B118" s="2">
        <v>1</v>
      </c>
      <c r="C118" s="2">
        <v>2</v>
      </c>
      <c r="D118" s="2">
        <v>136</v>
      </c>
      <c r="E118" s="2">
        <v>2</v>
      </c>
    </row>
    <row r="119" spans="1:13">
      <c r="A119" s="2">
        <v>3</v>
      </c>
      <c r="B119" s="2">
        <v>3</v>
      </c>
      <c r="C119" s="2">
        <v>0</v>
      </c>
      <c r="D119" s="2">
        <v>0</v>
      </c>
      <c r="E119" s="2">
        <v>0</v>
      </c>
    </row>
    <row r="120" spans="1:13">
      <c r="A120" s="2">
        <v>3</v>
      </c>
      <c r="B120" s="2">
        <v>4</v>
      </c>
      <c r="C120" s="2">
        <v>0</v>
      </c>
      <c r="D120" s="2">
        <v>3</v>
      </c>
      <c r="E120" s="2">
        <v>0</v>
      </c>
    </row>
    <row r="121" spans="1:13">
      <c r="A121" s="2">
        <v>3</v>
      </c>
      <c r="B121" s="2">
        <v>5</v>
      </c>
    </row>
    <row r="122" spans="1:13">
      <c r="A122" s="2">
        <v>3</v>
      </c>
      <c r="B122" s="2">
        <v>6</v>
      </c>
    </row>
    <row r="123" spans="1:13">
      <c r="A123" s="2">
        <v>4</v>
      </c>
      <c r="B123" s="2" t="s">
        <v>107</v>
      </c>
      <c r="C123" s="2" t="s">
        <v>66</v>
      </c>
      <c r="D123" s="2">
        <v>0</v>
      </c>
      <c r="F123" s="2">
        <v>1</v>
      </c>
      <c r="G123" s="42">
        <v>9.6527777777777768E-2</v>
      </c>
      <c r="J123" s="2" t="s">
        <v>90</v>
      </c>
      <c r="M123" s="42">
        <v>0.13819444444444443</v>
      </c>
    </row>
    <row r="124" spans="1:13">
      <c r="A124" s="2">
        <v>4</v>
      </c>
      <c r="B124" s="2" t="s">
        <v>106</v>
      </c>
      <c r="C124" s="2" t="s">
        <v>66</v>
      </c>
      <c r="D124" s="2">
        <v>0</v>
      </c>
      <c r="F124" s="2">
        <v>1</v>
      </c>
      <c r="G124" s="42">
        <v>9.7916666666666666E-2</v>
      </c>
      <c r="J124" s="2" t="s">
        <v>90</v>
      </c>
      <c r="M124" s="42">
        <v>0.13958333333333334</v>
      </c>
    </row>
    <row r="125" spans="1:13">
      <c r="A125" s="2">
        <v>4</v>
      </c>
      <c r="B125" s="2" t="s">
        <v>105</v>
      </c>
      <c r="C125" s="2" t="s">
        <v>66</v>
      </c>
      <c r="D125" s="2">
        <v>0</v>
      </c>
      <c r="F125" s="2">
        <v>1</v>
      </c>
      <c r="G125" s="42">
        <v>9.930555555555555E-2</v>
      </c>
      <c r="J125" s="2" t="s">
        <v>90</v>
      </c>
      <c r="M125" s="42">
        <v>0.14097222222222222</v>
      </c>
    </row>
    <row r="126" spans="1:13">
      <c r="A126" s="2">
        <v>4</v>
      </c>
      <c r="B126" s="2" t="s">
        <v>104</v>
      </c>
      <c r="C126" s="2" t="s">
        <v>66</v>
      </c>
      <c r="D126" s="2">
        <v>0</v>
      </c>
      <c r="F126" s="2">
        <v>1</v>
      </c>
      <c r="G126" s="42">
        <v>9.9999999999999992E-2</v>
      </c>
      <c r="J126" s="2" t="s">
        <v>90</v>
      </c>
      <c r="M126" s="42">
        <v>0.14166666666666666</v>
      </c>
    </row>
    <row r="127" spans="1:13">
      <c r="A127" s="2">
        <v>4</v>
      </c>
      <c r="B127" s="2" t="s">
        <v>103</v>
      </c>
      <c r="C127" s="2" t="s">
        <v>66</v>
      </c>
      <c r="D127" s="2">
        <v>0</v>
      </c>
      <c r="F127" s="2">
        <v>1</v>
      </c>
      <c r="G127" s="42">
        <v>0.10069444444444443</v>
      </c>
      <c r="J127" s="2" t="s">
        <v>90</v>
      </c>
      <c r="M127" s="42">
        <v>0.1423611111111111</v>
      </c>
    </row>
    <row r="128" spans="1:13">
      <c r="A128" s="2">
        <v>4</v>
      </c>
      <c r="B128" s="2" t="s">
        <v>108</v>
      </c>
      <c r="C128" s="2" t="s">
        <v>66</v>
      </c>
      <c r="D128" s="2">
        <v>0</v>
      </c>
      <c r="F128" s="2">
        <v>2</v>
      </c>
      <c r="G128" s="42">
        <v>0.10347222222222223</v>
      </c>
      <c r="J128" s="2" t="s">
        <v>90</v>
      </c>
      <c r="M128" s="42">
        <v>0.1451388888888889</v>
      </c>
    </row>
    <row r="129" spans="1:19">
      <c r="A129" s="2">
        <v>4</v>
      </c>
      <c r="B129" s="2" t="s">
        <v>93</v>
      </c>
      <c r="C129" s="2" t="s">
        <v>66</v>
      </c>
      <c r="D129" s="2">
        <v>0</v>
      </c>
      <c r="F129" s="2">
        <v>7</v>
      </c>
      <c r="G129" s="42">
        <v>0.10694444444444444</v>
      </c>
      <c r="J129" s="42">
        <v>0.10694444444444444</v>
      </c>
      <c r="M129" s="42">
        <v>0.14861111111111111</v>
      </c>
    </row>
    <row r="130" spans="1:19">
      <c r="A130" s="2">
        <v>4</v>
      </c>
      <c r="B130" s="2" t="s">
        <v>93</v>
      </c>
      <c r="C130" s="2" t="s">
        <v>66</v>
      </c>
      <c r="D130" s="2">
        <v>0</v>
      </c>
      <c r="F130" s="2">
        <v>6</v>
      </c>
      <c r="G130" s="2" t="s">
        <v>90</v>
      </c>
      <c r="J130" s="42">
        <v>0.10902777777777778</v>
      </c>
      <c r="M130" s="2" t="s">
        <v>90</v>
      </c>
    </row>
    <row r="131" spans="1:19">
      <c r="A131" s="2">
        <v>9</v>
      </c>
      <c r="B131" s="2" t="s">
        <v>61</v>
      </c>
      <c r="C131" s="43">
        <v>1.1659722222222222</v>
      </c>
      <c r="D131" s="2" t="s">
        <v>93</v>
      </c>
      <c r="E131" s="43">
        <v>1.148611111111111</v>
      </c>
      <c r="F131" s="2">
        <v>102</v>
      </c>
    </row>
    <row r="132" spans="1:19">
      <c r="A132" s="2">
        <v>6</v>
      </c>
      <c r="B132" s="42">
        <v>0.69652777777777775</v>
      </c>
      <c r="C132" s="2">
        <v>0</v>
      </c>
      <c r="D132" s="2" t="s">
        <v>61</v>
      </c>
      <c r="E132" s="2" t="s">
        <v>65</v>
      </c>
    </row>
    <row r="133" spans="1:19">
      <c r="A133" s="2">
        <v>99</v>
      </c>
    </row>
    <row r="134" spans="1:19">
      <c r="A134" s="2">
        <v>1</v>
      </c>
      <c r="B134" s="2">
        <v>3</v>
      </c>
      <c r="C134" s="2">
        <v>37</v>
      </c>
      <c r="D134" s="2" t="s">
        <v>59</v>
      </c>
      <c r="E134" s="2" t="s">
        <v>60</v>
      </c>
      <c r="F134" s="2" t="s">
        <v>61</v>
      </c>
      <c r="G134" s="2" t="s">
        <v>62</v>
      </c>
      <c r="H134" s="2" t="s">
        <v>63</v>
      </c>
      <c r="I134" s="42">
        <v>0.27986111111111112</v>
      </c>
      <c r="J134" s="42">
        <v>0.71805555555555556</v>
      </c>
      <c r="K134" s="2" t="s">
        <v>60</v>
      </c>
      <c r="L134" s="2" t="s">
        <v>61</v>
      </c>
      <c r="M134" s="2" t="s">
        <v>60</v>
      </c>
      <c r="N134" s="2" t="s">
        <v>61</v>
      </c>
    </row>
    <row r="135" spans="1:19">
      <c r="A135" s="2">
        <v>8</v>
      </c>
      <c r="B135" s="2" t="s">
        <v>61</v>
      </c>
      <c r="C135" s="42">
        <v>0.27986111111111112</v>
      </c>
      <c r="D135" s="2" t="s">
        <v>64</v>
      </c>
      <c r="E135" s="42">
        <v>0.29722222222222222</v>
      </c>
      <c r="F135" s="2">
        <v>101</v>
      </c>
    </row>
    <row r="136" spans="1:19">
      <c r="A136" s="2">
        <v>2</v>
      </c>
      <c r="B136" s="2" t="s">
        <v>65</v>
      </c>
      <c r="C136" s="2">
        <v>1</v>
      </c>
      <c r="D136" s="2" t="s">
        <v>46</v>
      </c>
      <c r="E136" s="2">
        <v>82</v>
      </c>
      <c r="F136" s="2">
        <v>14</v>
      </c>
      <c r="G136" s="2">
        <v>3</v>
      </c>
      <c r="H136" s="2">
        <v>750</v>
      </c>
    </row>
    <row r="137" spans="1:19">
      <c r="A137" s="2">
        <v>3</v>
      </c>
      <c r="B137" s="2">
        <v>2</v>
      </c>
      <c r="C137" s="2">
        <v>46</v>
      </c>
      <c r="D137" s="2">
        <v>67</v>
      </c>
      <c r="E137" s="2">
        <v>79</v>
      </c>
      <c r="F137" s="2">
        <v>110</v>
      </c>
      <c r="G137" s="2">
        <v>142</v>
      </c>
    </row>
    <row r="138" spans="1:19">
      <c r="A138" s="2">
        <v>3</v>
      </c>
      <c r="B138" s="2">
        <v>1</v>
      </c>
      <c r="C138" s="2">
        <v>1</v>
      </c>
      <c r="D138" s="2">
        <v>1</v>
      </c>
      <c r="E138" s="2">
        <v>1</v>
      </c>
      <c r="F138" s="2">
        <v>1</v>
      </c>
      <c r="G138" s="2">
        <v>1</v>
      </c>
    </row>
    <row r="139" spans="1:19">
      <c r="A139" s="2">
        <v>3</v>
      </c>
      <c r="B139" s="2">
        <v>3</v>
      </c>
      <c r="C139" s="2">
        <v>0</v>
      </c>
      <c r="D139" s="2">
        <v>0</v>
      </c>
      <c r="E139" s="2">
        <v>0</v>
      </c>
      <c r="F139" s="2">
        <v>0</v>
      </c>
      <c r="G139" s="2">
        <v>0</v>
      </c>
    </row>
    <row r="140" spans="1:19">
      <c r="A140" s="2">
        <v>3</v>
      </c>
      <c r="B140" s="2">
        <v>4</v>
      </c>
      <c r="C140" s="2">
        <v>0</v>
      </c>
      <c r="D140" s="2">
        <v>0</v>
      </c>
      <c r="E140" s="2">
        <v>0</v>
      </c>
      <c r="F140" s="2">
        <v>0</v>
      </c>
      <c r="G140" s="2">
        <v>0</v>
      </c>
    </row>
    <row r="141" spans="1:19">
      <c r="A141" s="2">
        <v>3</v>
      </c>
      <c r="B141" s="2">
        <v>5</v>
      </c>
    </row>
    <row r="142" spans="1:19">
      <c r="A142" s="2">
        <v>3</v>
      </c>
      <c r="B142" s="2">
        <v>6</v>
      </c>
    </row>
    <row r="143" spans="1:19">
      <c r="A143" s="2">
        <v>4</v>
      </c>
      <c r="B143" s="2" t="s">
        <v>64</v>
      </c>
      <c r="C143" s="2" t="s">
        <v>66</v>
      </c>
      <c r="D143" s="2">
        <v>0</v>
      </c>
      <c r="F143" s="2">
        <v>1</v>
      </c>
      <c r="G143" s="42">
        <v>0.29722222222222222</v>
      </c>
      <c r="J143" s="42">
        <v>0.38055555555555554</v>
      </c>
      <c r="M143" s="42">
        <v>0.46388888888888885</v>
      </c>
      <c r="P143" s="42">
        <v>0.54722222222222217</v>
      </c>
      <c r="S143" s="42">
        <v>0.63055555555555554</v>
      </c>
    </row>
    <row r="144" spans="1:19">
      <c r="A144" s="2">
        <v>4</v>
      </c>
      <c r="B144" s="2" t="s">
        <v>67</v>
      </c>
      <c r="C144" s="2" t="s">
        <v>66</v>
      </c>
      <c r="D144" s="2">
        <v>0</v>
      </c>
      <c r="F144" s="2">
        <v>1</v>
      </c>
      <c r="G144" s="42">
        <v>0.2986111111111111</v>
      </c>
      <c r="J144" s="42">
        <v>0.38194444444444442</v>
      </c>
      <c r="M144" s="42">
        <v>0.46527777777777773</v>
      </c>
      <c r="P144" s="42">
        <v>0.54861111111111105</v>
      </c>
      <c r="S144" s="42">
        <v>0.63194444444444442</v>
      </c>
    </row>
    <row r="145" spans="1:19">
      <c r="A145" s="2">
        <v>4</v>
      </c>
      <c r="B145" s="2" t="s">
        <v>68</v>
      </c>
      <c r="C145" s="2" t="s">
        <v>66</v>
      </c>
      <c r="D145" s="2">
        <v>0</v>
      </c>
      <c r="F145" s="2">
        <v>2</v>
      </c>
      <c r="G145" s="42">
        <v>0.29930555555555555</v>
      </c>
      <c r="J145" s="42">
        <v>0.38263888888888892</v>
      </c>
      <c r="M145" s="42">
        <v>0.46597222222222223</v>
      </c>
      <c r="P145" s="42">
        <v>0.5493055555555556</v>
      </c>
      <c r="S145" s="42">
        <v>0.63263888888888886</v>
      </c>
    </row>
    <row r="146" spans="1:19">
      <c r="A146" s="2">
        <v>4</v>
      </c>
      <c r="B146" s="2" t="s">
        <v>69</v>
      </c>
      <c r="C146" s="2" t="s">
        <v>66</v>
      </c>
      <c r="D146" s="2">
        <v>0</v>
      </c>
      <c r="F146" s="2">
        <v>1</v>
      </c>
      <c r="G146" s="42">
        <v>0.30416666666666664</v>
      </c>
      <c r="J146" s="42">
        <v>0.38750000000000001</v>
      </c>
      <c r="M146" s="42">
        <v>0.47083333333333338</v>
      </c>
      <c r="P146" s="42">
        <v>0.5541666666666667</v>
      </c>
      <c r="S146" s="42">
        <v>0.63750000000000007</v>
      </c>
    </row>
    <row r="147" spans="1:19">
      <c r="A147" s="2">
        <v>4</v>
      </c>
      <c r="B147" s="2" t="s">
        <v>70</v>
      </c>
      <c r="C147" s="2" t="s">
        <v>66</v>
      </c>
      <c r="D147" s="2">
        <v>0</v>
      </c>
      <c r="F147" s="2">
        <v>1</v>
      </c>
      <c r="G147" s="42">
        <v>0.30486111111111108</v>
      </c>
      <c r="J147" s="42">
        <v>0.38819444444444445</v>
      </c>
      <c r="M147" s="42">
        <v>0.47152777777777777</v>
      </c>
      <c r="P147" s="42">
        <v>0.55486111111111114</v>
      </c>
      <c r="S147" s="42">
        <v>0.6381944444444444</v>
      </c>
    </row>
    <row r="148" spans="1:19">
      <c r="A148" s="2">
        <v>4</v>
      </c>
      <c r="B148" s="2" t="s">
        <v>71</v>
      </c>
      <c r="C148" s="2" t="s">
        <v>66</v>
      </c>
      <c r="D148" s="2">
        <v>0</v>
      </c>
      <c r="F148" s="2">
        <v>1</v>
      </c>
      <c r="G148" s="42">
        <v>0.30555555555555552</v>
      </c>
      <c r="J148" s="42">
        <v>0.3888888888888889</v>
      </c>
      <c r="M148" s="42">
        <v>0.47222222222222227</v>
      </c>
      <c r="P148" s="42">
        <v>0.55555555555555558</v>
      </c>
      <c r="S148" s="42">
        <v>0.63888888888888895</v>
      </c>
    </row>
    <row r="149" spans="1:19">
      <c r="A149" s="2">
        <v>4</v>
      </c>
      <c r="B149" s="2" t="s">
        <v>72</v>
      </c>
      <c r="C149" s="2" t="s">
        <v>66</v>
      </c>
      <c r="D149" s="2">
        <v>0</v>
      </c>
      <c r="F149" s="2">
        <v>3</v>
      </c>
      <c r="G149" s="42">
        <v>0.30694444444444441</v>
      </c>
      <c r="J149" s="42">
        <v>0.39027777777777778</v>
      </c>
      <c r="M149" s="42">
        <v>0.47361111111111115</v>
      </c>
      <c r="P149" s="42">
        <v>0.55694444444444446</v>
      </c>
      <c r="S149" s="42">
        <v>0.64027777777777783</v>
      </c>
    </row>
    <row r="150" spans="1:19">
      <c r="A150" s="2">
        <v>4</v>
      </c>
      <c r="B150" s="2" t="s">
        <v>73</v>
      </c>
      <c r="C150" s="2" t="s">
        <v>66</v>
      </c>
      <c r="D150" s="2">
        <v>0</v>
      </c>
      <c r="F150" s="2">
        <v>1</v>
      </c>
      <c r="G150" s="42">
        <v>0.30833333333333335</v>
      </c>
      <c r="J150" s="42">
        <v>0.39166666666666666</v>
      </c>
      <c r="M150" s="42">
        <v>0.47500000000000003</v>
      </c>
      <c r="P150" s="42">
        <v>0.55833333333333335</v>
      </c>
      <c r="S150" s="42">
        <v>0.64166666666666672</v>
      </c>
    </row>
    <row r="151" spans="1:19">
      <c r="A151" s="2">
        <v>4</v>
      </c>
      <c r="B151" s="2" t="s">
        <v>74</v>
      </c>
      <c r="C151" s="2" t="s">
        <v>66</v>
      </c>
      <c r="D151" s="2">
        <v>0</v>
      </c>
      <c r="F151" s="2">
        <v>2</v>
      </c>
      <c r="G151" s="42">
        <v>0.31111111111111112</v>
      </c>
      <c r="J151" s="42">
        <v>0.39444444444444443</v>
      </c>
      <c r="M151" s="42">
        <v>0.4777777777777778</v>
      </c>
      <c r="P151" s="42">
        <v>0.56111111111111112</v>
      </c>
      <c r="S151" s="42">
        <v>0.64444444444444449</v>
      </c>
    </row>
    <row r="152" spans="1:19">
      <c r="A152" s="2">
        <v>4</v>
      </c>
      <c r="B152" s="2" t="s">
        <v>75</v>
      </c>
      <c r="C152" s="2" t="s">
        <v>66</v>
      </c>
      <c r="D152" s="2">
        <v>0</v>
      </c>
      <c r="F152" s="2">
        <v>1</v>
      </c>
      <c r="G152" s="42">
        <v>0.3125</v>
      </c>
      <c r="J152" s="42">
        <v>0.39583333333333331</v>
      </c>
      <c r="M152" s="42">
        <v>0.47916666666666669</v>
      </c>
      <c r="P152" s="42">
        <v>0.5625</v>
      </c>
      <c r="S152" s="42">
        <v>0.64583333333333337</v>
      </c>
    </row>
    <row r="153" spans="1:19">
      <c r="A153" s="2">
        <v>4</v>
      </c>
      <c r="B153" s="2" t="s">
        <v>74</v>
      </c>
      <c r="C153" s="2" t="s">
        <v>66</v>
      </c>
      <c r="D153" s="2">
        <v>0</v>
      </c>
      <c r="F153" s="2">
        <v>1</v>
      </c>
      <c r="G153" s="42">
        <v>0.31388888888888888</v>
      </c>
      <c r="J153" s="42">
        <v>0.3972222222222222</v>
      </c>
      <c r="M153" s="42">
        <v>0.48055555555555557</v>
      </c>
      <c r="P153" s="42">
        <v>0.56388888888888888</v>
      </c>
      <c r="S153" s="42">
        <v>0.64722222222222225</v>
      </c>
    </row>
    <row r="154" spans="1:19">
      <c r="A154" s="2">
        <v>4</v>
      </c>
      <c r="B154" s="2" t="s">
        <v>76</v>
      </c>
      <c r="C154" s="2" t="s">
        <v>66</v>
      </c>
      <c r="D154" s="2">
        <v>0</v>
      </c>
      <c r="F154" s="2">
        <v>1</v>
      </c>
      <c r="G154" s="42">
        <v>0.31666666666666665</v>
      </c>
      <c r="J154" s="42">
        <v>0.39999999999999997</v>
      </c>
      <c r="M154" s="42">
        <v>0.48333333333333334</v>
      </c>
      <c r="P154" s="42">
        <v>0.56666666666666665</v>
      </c>
      <c r="S154" s="42">
        <v>0.65</v>
      </c>
    </row>
    <row r="155" spans="1:19">
      <c r="A155" s="2">
        <v>4</v>
      </c>
      <c r="B155" s="2" t="s">
        <v>77</v>
      </c>
      <c r="C155" s="2" t="s">
        <v>66</v>
      </c>
      <c r="D155" s="2">
        <v>0</v>
      </c>
      <c r="F155" s="2">
        <v>1</v>
      </c>
      <c r="G155" s="42">
        <v>0.31666666666666665</v>
      </c>
      <c r="J155" s="42">
        <v>0.39999999999999997</v>
      </c>
      <c r="M155" s="42">
        <v>0.48333333333333334</v>
      </c>
      <c r="P155" s="42">
        <v>0.56666666666666665</v>
      </c>
      <c r="S155" s="42">
        <v>0.65</v>
      </c>
    </row>
    <row r="156" spans="1:19">
      <c r="A156" s="2">
        <v>4</v>
      </c>
      <c r="B156" s="2" t="s">
        <v>78</v>
      </c>
      <c r="C156" s="2" t="s">
        <v>66</v>
      </c>
      <c r="D156" s="2">
        <v>0</v>
      </c>
      <c r="F156" s="2">
        <v>1</v>
      </c>
      <c r="G156" s="42">
        <v>0.31736111111111115</v>
      </c>
      <c r="J156" s="42">
        <v>0.40069444444444446</v>
      </c>
      <c r="M156" s="42">
        <v>0.48402777777777778</v>
      </c>
      <c r="P156" s="42">
        <v>0.56736111111111109</v>
      </c>
      <c r="S156" s="42">
        <v>0.65069444444444446</v>
      </c>
    </row>
    <row r="157" spans="1:19">
      <c r="A157" s="2">
        <v>4</v>
      </c>
      <c r="B157" s="2" t="s">
        <v>79</v>
      </c>
      <c r="C157" s="2" t="s">
        <v>66</v>
      </c>
      <c r="D157" s="2">
        <v>0</v>
      </c>
      <c r="F157" s="2">
        <v>1</v>
      </c>
      <c r="G157" s="42">
        <v>0.31805555555555554</v>
      </c>
      <c r="J157" s="42">
        <v>0.40138888888888885</v>
      </c>
      <c r="M157" s="42">
        <v>0.48472222222222222</v>
      </c>
      <c r="P157" s="42">
        <v>0.56805555555555554</v>
      </c>
      <c r="S157" s="42">
        <v>0.65138888888888891</v>
      </c>
    </row>
    <row r="158" spans="1:19">
      <c r="A158" s="2">
        <v>4</v>
      </c>
      <c r="B158" s="2" t="s">
        <v>80</v>
      </c>
      <c r="C158" s="2" t="s">
        <v>66</v>
      </c>
      <c r="D158" s="2">
        <v>0</v>
      </c>
      <c r="F158" s="2">
        <v>1</v>
      </c>
      <c r="G158" s="42">
        <v>0.31875000000000003</v>
      </c>
      <c r="J158" s="42">
        <v>0.40208333333333335</v>
      </c>
      <c r="M158" s="42">
        <v>0.48541666666666666</v>
      </c>
      <c r="P158" s="42">
        <v>0.56874999999999998</v>
      </c>
      <c r="S158" s="42">
        <v>0.65208333333333335</v>
      </c>
    </row>
    <row r="159" spans="1:19">
      <c r="A159" s="2">
        <v>4</v>
      </c>
      <c r="B159" s="2" t="s">
        <v>81</v>
      </c>
      <c r="C159" s="2" t="s">
        <v>66</v>
      </c>
      <c r="D159" s="2">
        <v>0</v>
      </c>
      <c r="F159" s="2">
        <v>1</v>
      </c>
      <c r="G159" s="42">
        <v>0.31944444444444448</v>
      </c>
      <c r="J159" s="42">
        <v>0.40277777777777773</v>
      </c>
      <c r="M159" s="42">
        <v>0.4861111111111111</v>
      </c>
      <c r="P159" s="42">
        <v>0.56944444444444442</v>
      </c>
      <c r="S159" s="42">
        <v>0.65277777777777779</v>
      </c>
    </row>
    <row r="160" spans="1:19">
      <c r="A160" s="2">
        <v>4</v>
      </c>
      <c r="B160" s="2" t="s">
        <v>82</v>
      </c>
      <c r="C160" s="2" t="s">
        <v>66</v>
      </c>
      <c r="D160" s="2">
        <v>0</v>
      </c>
      <c r="F160" s="2">
        <v>1</v>
      </c>
      <c r="G160" s="42">
        <v>0.31944444444444448</v>
      </c>
      <c r="J160" s="42">
        <v>0.40277777777777773</v>
      </c>
      <c r="M160" s="42">
        <v>0.4861111111111111</v>
      </c>
      <c r="P160" s="42">
        <v>0.56944444444444442</v>
      </c>
      <c r="S160" s="42">
        <v>0.65277777777777779</v>
      </c>
    </row>
    <row r="161" spans="1:19">
      <c r="A161" s="2">
        <v>4</v>
      </c>
      <c r="B161" s="2" t="s">
        <v>83</v>
      </c>
      <c r="C161" s="2" t="s">
        <v>66</v>
      </c>
      <c r="D161" s="2">
        <v>0</v>
      </c>
      <c r="F161" s="2">
        <v>1</v>
      </c>
      <c r="G161" s="42">
        <v>0.32013888888888892</v>
      </c>
      <c r="J161" s="42">
        <v>0.40347222222222223</v>
      </c>
      <c r="M161" s="42">
        <v>0.48680555555555555</v>
      </c>
      <c r="P161" s="42">
        <v>0.57013888888888886</v>
      </c>
      <c r="S161" s="42">
        <v>0.65347222222222223</v>
      </c>
    </row>
    <row r="162" spans="1:19">
      <c r="A162" s="2">
        <v>4</v>
      </c>
      <c r="B162" s="2" t="s">
        <v>84</v>
      </c>
      <c r="C162" s="2" t="s">
        <v>66</v>
      </c>
      <c r="D162" s="2">
        <v>0</v>
      </c>
      <c r="F162" s="2">
        <v>3</v>
      </c>
      <c r="G162" s="42">
        <v>0.32083333333333336</v>
      </c>
      <c r="J162" s="42">
        <v>0.40416666666666662</v>
      </c>
      <c r="M162" s="42">
        <v>0.48749999999999999</v>
      </c>
      <c r="P162" s="42">
        <v>0.5708333333333333</v>
      </c>
      <c r="S162" s="42">
        <v>0.65416666666666667</v>
      </c>
    </row>
    <row r="163" spans="1:19">
      <c r="A163" s="2">
        <v>4</v>
      </c>
      <c r="B163" s="2" t="s">
        <v>84</v>
      </c>
      <c r="C163" s="2" t="s">
        <v>66</v>
      </c>
      <c r="D163" s="2">
        <v>0</v>
      </c>
      <c r="F163" s="2">
        <v>1</v>
      </c>
      <c r="G163" s="42">
        <v>0.3215277777777778</v>
      </c>
      <c r="J163" s="42">
        <v>0.40486111111111112</v>
      </c>
      <c r="M163" s="42">
        <v>0.48819444444444443</v>
      </c>
      <c r="P163" s="42">
        <v>0.57152777777777775</v>
      </c>
      <c r="S163" s="42">
        <v>0.65486111111111112</v>
      </c>
    </row>
    <row r="164" spans="1:19">
      <c r="A164" s="2">
        <v>4</v>
      </c>
      <c r="B164" s="2" t="s">
        <v>85</v>
      </c>
      <c r="C164" s="2" t="s">
        <v>66</v>
      </c>
      <c r="D164" s="2">
        <v>0</v>
      </c>
      <c r="F164" s="2">
        <v>1</v>
      </c>
      <c r="G164" s="42">
        <v>0.32222222222222224</v>
      </c>
      <c r="J164" s="42">
        <v>0.4055555555555555</v>
      </c>
      <c r="M164" s="42">
        <v>0.48888888888888887</v>
      </c>
      <c r="P164" s="42">
        <v>0.57222222222222219</v>
      </c>
      <c r="S164" s="42">
        <v>0.65555555555555556</v>
      </c>
    </row>
    <row r="165" spans="1:19">
      <c r="A165" s="2">
        <v>4</v>
      </c>
      <c r="B165" s="2" t="s">
        <v>86</v>
      </c>
      <c r="C165" s="2" t="s">
        <v>66</v>
      </c>
      <c r="D165" s="2">
        <v>0</v>
      </c>
      <c r="F165" s="2">
        <v>1</v>
      </c>
      <c r="G165" s="42">
        <v>0.32361111111111113</v>
      </c>
      <c r="J165" s="42">
        <v>0.4069444444444445</v>
      </c>
      <c r="M165" s="42">
        <v>0.49027777777777781</v>
      </c>
      <c r="P165" s="42">
        <v>0.57361111111111118</v>
      </c>
      <c r="S165" s="42">
        <v>0.65694444444444444</v>
      </c>
    </row>
    <row r="166" spans="1:19">
      <c r="A166" s="2">
        <v>4</v>
      </c>
      <c r="B166" s="2" t="s">
        <v>87</v>
      </c>
      <c r="C166" s="2" t="s">
        <v>66</v>
      </c>
      <c r="D166" s="2">
        <v>0</v>
      </c>
      <c r="F166" s="2">
        <v>1</v>
      </c>
      <c r="G166" s="42">
        <v>0.32500000000000001</v>
      </c>
      <c r="J166" s="42">
        <v>0.40833333333333338</v>
      </c>
      <c r="M166" s="42">
        <v>0.4916666666666667</v>
      </c>
      <c r="P166" s="42">
        <v>0.57500000000000007</v>
      </c>
      <c r="S166" s="42">
        <v>0.65833333333333333</v>
      </c>
    </row>
    <row r="167" spans="1:19">
      <c r="A167" s="2">
        <v>4</v>
      </c>
      <c r="B167" s="2" t="s">
        <v>88</v>
      </c>
      <c r="C167" s="2" t="s">
        <v>89</v>
      </c>
      <c r="D167" s="2">
        <v>0</v>
      </c>
      <c r="F167" s="2">
        <v>3</v>
      </c>
      <c r="G167" s="42">
        <v>0.3263888888888889</v>
      </c>
      <c r="J167" s="42">
        <v>0.40972222222222227</v>
      </c>
      <c r="M167" s="42">
        <v>0.49305555555555558</v>
      </c>
      <c r="P167" s="42">
        <v>0.57638888888888895</v>
      </c>
      <c r="S167" s="42">
        <v>0.65972222222222221</v>
      </c>
    </row>
    <row r="168" spans="1:19">
      <c r="A168" s="2">
        <v>5</v>
      </c>
      <c r="B168" s="2" t="s">
        <v>27</v>
      </c>
      <c r="C168" s="2" t="s">
        <v>65</v>
      </c>
      <c r="D168" s="2" t="s">
        <v>46</v>
      </c>
      <c r="E168" s="2">
        <v>1</v>
      </c>
    </row>
    <row r="169" spans="1:19">
      <c r="A169" s="2">
        <v>3</v>
      </c>
      <c r="B169" s="2">
        <v>2</v>
      </c>
      <c r="C169" s="2">
        <v>262</v>
      </c>
      <c r="D169" s="2">
        <v>284</v>
      </c>
      <c r="E169" s="2">
        <v>295</v>
      </c>
      <c r="F169" s="2">
        <v>324</v>
      </c>
      <c r="G169" s="2">
        <v>351</v>
      </c>
    </row>
    <row r="170" spans="1:19">
      <c r="A170" s="2">
        <v>3</v>
      </c>
      <c r="B170" s="2">
        <v>1</v>
      </c>
      <c r="C170" s="2">
        <v>2</v>
      </c>
      <c r="D170" s="2">
        <v>2</v>
      </c>
      <c r="E170" s="2">
        <v>2</v>
      </c>
      <c r="F170" s="2">
        <v>2</v>
      </c>
      <c r="G170" s="2">
        <v>2</v>
      </c>
    </row>
    <row r="171" spans="1:19">
      <c r="A171" s="2">
        <v>3</v>
      </c>
      <c r="B171" s="2">
        <v>3</v>
      </c>
      <c r="C171" s="2">
        <v>0</v>
      </c>
      <c r="D171" s="2">
        <v>0</v>
      </c>
      <c r="E171" s="2">
        <v>0</v>
      </c>
      <c r="F171" s="2">
        <v>0</v>
      </c>
      <c r="G171" s="2">
        <v>0</v>
      </c>
    </row>
    <row r="172" spans="1:19">
      <c r="A172" s="2">
        <v>3</v>
      </c>
      <c r="B172" s="2">
        <v>4</v>
      </c>
      <c r="C172" s="2">
        <v>0</v>
      </c>
      <c r="D172" s="2">
        <v>0</v>
      </c>
      <c r="E172" s="2">
        <v>0</v>
      </c>
      <c r="F172" s="2">
        <v>0</v>
      </c>
      <c r="G172" s="2">
        <v>0</v>
      </c>
    </row>
    <row r="173" spans="1:19">
      <c r="A173" s="2">
        <v>3</v>
      </c>
      <c r="B173" s="2">
        <v>5</v>
      </c>
    </row>
    <row r="174" spans="1:19">
      <c r="A174" s="2">
        <v>3</v>
      </c>
      <c r="B174" s="2">
        <v>6</v>
      </c>
    </row>
    <row r="175" spans="1:19">
      <c r="A175" s="2">
        <v>4</v>
      </c>
      <c r="B175" s="2" t="s">
        <v>88</v>
      </c>
      <c r="C175" s="2" t="s">
        <v>66</v>
      </c>
      <c r="D175" s="2">
        <v>0</v>
      </c>
      <c r="F175" s="2">
        <v>3</v>
      </c>
      <c r="G175" s="42">
        <v>0.34027777777777773</v>
      </c>
      <c r="J175" s="42">
        <v>0.4236111111111111</v>
      </c>
      <c r="M175" s="42">
        <v>0.50694444444444442</v>
      </c>
      <c r="P175" s="42">
        <v>0.59027777777777779</v>
      </c>
      <c r="S175" s="42">
        <v>0.67361111111111116</v>
      </c>
    </row>
    <row r="176" spans="1:19">
      <c r="A176" s="2">
        <v>4</v>
      </c>
      <c r="B176" s="2" t="s">
        <v>87</v>
      </c>
      <c r="C176" s="2" t="s">
        <v>66</v>
      </c>
      <c r="D176" s="2">
        <v>0</v>
      </c>
      <c r="F176" s="2">
        <v>2</v>
      </c>
      <c r="G176" s="42">
        <v>0.34166666666666662</v>
      </c>
      <c r="J176" s="42">
        <v>0.42499999999999999</v>
      </c>
      <c r="M176" s="42">
        <v>0.5083333333333333</v>
      </c>
      <c r="P176" s="42">
        <v>0.59166666666666667</v>
      </c>
      <c r="S176" s="42">
        <v>0.67499999999999993</v>
      </c>
    </row>
    <row r="177" spans="1:19">
      <c r="A177" s="2">
        <v>4</v>
      </c>
      <c r="B177" s="2" t="s">
        <v>86</v>
      </c>
      <c r="C177" s="2" t="s">
        <v>66</v>
      </c>
      <c r="D177" s="2">
        <v>0</v>
      </c>
      <c r="F177" s="2">
        <v>2</v>
      </c>
      <c r="G177" s="42">
        <v>0.34236111111111112</v>
      </c>
      <c r="J177" s="42">
        <v>0.42569444444444443</v>
      </c>
      <c r="M177" s="42">
        <v>0.50902777777777775</v>
      </c>
      <c r="P177" s="42">
        <v>0.59236111111111112</v>
      </c>
      <c r="S177" s="42">
        <v>0.67569444444444438</v>
      </c>
    </row>
    <row r="178" spans="1:19">
      <c r="A178" s="2">
        <v>4</v>
      </c>
      <c r="B178" s="2" t="s">
        <v>85</v>
      </c>
      <c r="C178" s="2" t="s">
        <v>66</v>
      </c>
      <c r="D178" s="2">
        <v>0</v>
      </c>
      <c r="F178" s="2">
        <v>2</v>
      </c>
      <c r="G178" s="42">
        <v>0.34375</v>
      </c>
      <c r="J178" s="42">
        <v>0.42708333333333331</v>
      </c>
      <c r="M178" s="42">
        <v>0.51041666666666663</v>
      </c>
      <c r="P178" s="42">
        <v>0.59375</v>
      </c>
      <c r="S178" s="42">
        <v>0.67708333333333337</v>
      </c>
    </row>
    <row r="179" spans="1:19">
      <c r="A179" s="2">
        <v>4</v>
      </c>
      <c r="B179" s="2" t="s">
        <v>84</v>
      </c>
      <c r="C179" s="2" t="s">
        <v>66</v>
      </c>
      <c r="D179" s="2">
        <v>0</v>
      </c>
      <c r="F179" s="2">
        <v>2</v>
      </c>
      <c r="G179" s="42">
        <v>0.3444444444444445</v>
      </c>
      <c r="J179" s="42">
        <v>0.42777777777777781</v>
      </c>
      <c r="M179" s="42">
        <v>0.51111111111111118</v>
      </c>
      <c r="P179" s="42">
        <v>0.59444444444444444</v>
      </c>
      <c r="S179" s="42">
        <v>0.6777777777777777</v>
      </c>
    </row>
    <row r="180" spans="1:19">
      <c r="A180" s="2">
        <v>4</v>
      </c>
      <c r="B180" s="2" t="s">
        <v>84</v>
      </c>
      <c r="C180" s="2" t="s">
        <v>66</v>
      </c>
      <c r="D180" s="2">
        <v>0</v>
      </c>
      <c r="F180" s="2">
        <v>4</v>
      </c>
      <c r="G180" s="42">
        <v>0.3444444444444445</v>
      </c>
      <c r="J180" s="42">
        <v>0.42777777777777781</v>
      </c>
      <c r="M180" s="42">
        <v>0.51111111111111118</v>
      </c>
      <c r="P180" s="42">
        <v>0.59444444444444444</v>
      </c>
      <c r="S180" s="42">
        <v>0.6777777777777777</v>
      </c>
    </row>
    <row r="181" spans="1:19">
      <c r="A181" s="2">
        <v>4</v>
      </c>
      <c r="B181" s="2" t="s">
        <v>83</v>
      </c>
      <c r="C181" s="2" t="s">
        <v>66</v>
      </c>
      <c r="D181" s="2">
        <v>0</v>
      </c>
      <c r="F181" s="2">
        <v>2</v>
      </c>
      <c r="G181" s="42">
        <v>0.34513888888888888</v>
      </c>
      <c r="J181" s="42">
        <v>0.4284722222222222</v>
      </c>
      <c r="M181" s="42">
        <v>0.51180555555555551</v>
      </c>
      <c r="P181" s="42">
        <v>0.59513888888888888</v>
      </c>
      <c r="S181" s="42">
        <v>0.67847222222222225</v>
      </c>
    </row>
    <row r="182" spans="1:19">
      <c r="A182" s="2">
        <v>4</v>
      </c>
      <c r="B182" s="2" t="s">
        <v>82</v>
      </c>
      <c r="C182" s="2" t="s">
        <v>66</v>
      </c>
      <c r="D182" s="2">
        <v>0</v>
      </c>
      <c r="F182" s="2">
        <v>2</v>
      </c>
      <c r="G182" s="42">
        <v>0.34583333333333338</v>
      </c>
      <c r="J182" s="42">
        <v>0.4291666666666667</v>
      </c>
      <c r="M182" s="42">
        <v>0.51250000000000007</v>
      </c>
      <c r="P182" s="42">
        <v>0.59583333333333333</v>
      </c>
      <c r="S182" s="42">
        <v>0.6791666666666667</v>
      </c>
    </row>
    <row r="183" spans="1:19">
      <c r="A183" s="2">
        <v>4</v>
      </c>
      <c r="B183" s="2" t="s">
        <v>81</v>
      </c>
      <c r="C183" s="2" t="s">
        <v>66</v>
      </c>
      <c r="D183" s="2">
        <v>0</v>
      </c>
      <c r="F183" s="2">
        <v>2</v>
      </c>
      <c r="G183" s="42">
        <v>0.34652777777777777</v>
      </c>
      <c r="J183" s="42">
        <v>0.42986111111111108</v>
      </c>
      <c r="M183" s="42">
        <v>0.5131944444444444</v>
      </c>
      <c r="P183" s="42">
        <v>0.59652777777777777</v>
      </c>
      <c r="S183" s="42">
        <v>0.67986111111111114</v>
      </c>
    </row>
    <row r="184" spans="1:19">
      <c r="A184" s="2">
        <v>4</v>
      </c>
      <c r="B184" s="2" t="s">
        <v>80</v>
      </c>
      <c r="C184" s="2" t="s">
        <v>66</v>
      </c>
      <c r="D184" s="2">
        <v>0</v>
      </c>
      <c r="F184" s="2">
        <v>2</v>
      </c>
      <c r="G184" s="42">
        <v>0.34722222222222227</v>
      </c>
      <c r="J184" s="42">
        <v>0.43055555555555558</v>
      </c>
      <c r="M184" s="42">
        <v>0.51388888888888895</v>
      </c>
      <c r="P184" s="42">
        <v>0.59722222222222221</v>
      </c>
      <c r="S184" s="42">
        <v>0.68055555555555547</v>
      </c>
    </row>
    <row r="185" spans="1:19">
      <c r="A185" s="2">
        <v>4</v>
      </c>
      <c r="B185" s="2" t="s">
        <v>79</v>
      </c>
      <c r="C185" s="2" t="s">
        <v>66</v>
      </c>
      <c r="D185" s="2">
        <v>0</v>
      </c>
      <c r="F185" s="2">
        <v>2</v>
      </c>
      <c r="G185" s="42">
        <v>0.34722222222222227</v>
      </c>
      <c r="J185" s="42">
        <v>0.43055555555555558</v>
      </c>
      <c r="M185" s="42">
        <v>0.51388888888888895</v>
      </c>
      <c r="P185" s="42">
        <v>0.59722222222222221</v>
      </c>
      <c r="S185" s="42">
        <v>0.68055555555555547</v>
      </c>
    </row>
    <row r="186" spans="1:19">
      <c r="A186" s="2">
        <v>4</v>
      </c>
      <c r="B186" s="2" t="s">
        <v>78</v>
      </c>
      <c r="C186" s="2" t="s">
        <v>66</v>
      </c>
      <c r="D186" s="2">
        <v>0</v>
      </c>
      <c r="F186" s="2">
        <v>2</v>
      </c>
      <c r="G186" s="42">
        <v>0.34791666666666665</v>
      </c>
      <c r="J186" s="42">
        <v>0.43124999999999997</v>
      </c>
      <c r="M186" s="42">
        <v>0.51458333333333328</v>
      </c>
      <c r="P186" s="42">
        <v>0.59791666666666665</v>
      </c>
      <c r="S186" s="42">
        <v>0.68125000000000002</v>
      </c>
    </row>
    <row r="187" spans="1:19">
      <c r="A187" s="2">
        <v>4</v>
      </c>
      <c r="B187" s="2" t="s">
        <v>77</v>
      </c>
      <c r="C187" s="2" t="s">
        <v>66</v>
      </c>
      <c r="D187" s="2">
        <v>0</v>
      </c>
      <c r="F187" s="2">
        <v>2</v>
      </c>
      <c r="G187" s="42">
        <v>0.34861111111111115</v>
      </c>
      <c r="J187" s="42">
        <v>0.43194444444444446</v>
      </c>
      <c r="M187" s="42">
        <v>0.51527777777777783</v>
      </c>
      <c r="P187" s="42">
        <v>0.59861111111111109</v>
      </c>
      <c r="S187" s="42">
        <v>0.68194444444444446</v>
      </c>
    </row>
    <row r="188" spans="1:19">
      <c r="A188" s="2">
        <v>4</v>
      </c>
      <c r="B188" s="2" t="s">
        <v>76</v>
      </c>
      <c r="C188" s="2" t="s">
        <v>66</v>
      </c>
      <c r="D188" s="2">
        <v>0</v>
      </c>
      <c r="F188" s="2">
        <v>2</v>
      </c>
      <c r="G188" s="42">
        <v>0.34930555555555554</v>
      </c>
      <c r="J188" s="42">
        <v>0.43263888888888885</v>
      </c>
      <c r="M188" s="42">
        <v>0.51597222222222217</v>
      </c>
      <c r="P188" s="42">
        <v>0.59930555555555554</v>
      </c>
      <c r="S188" s="42">
        <v>0.68263888888888891</v>
      </c>
    </row>
    <row r="189" spans="1:19">
      <c r="A189" s="2">
        <v>4</v>
      </c>
      <c r="B189" s="2" t="s">
        <v>74</v>
      </c>
      <c r="C189" s="2" t="s">
        <v>66</v>
      </c>
      <c r="D189" s="2">
        <v>0</v>
      </c>
      <c r="F189" s="2">
        <v>2</v>
      </c>
      <c r="G189" s="42">
        <v>0.35138888888888892</v>
      </c>
      <c r="J189" s="42">
        <v>0.43472222222222223</v>
      </c>
      <c r="M189" s="42">
        <v>0.5180555555555556</v>
      </c>
      <c r="P189" s="42">
        <v>0.60138888888888886</v>
      </c>
      <c r="S189" s="42">
        <v>0.68472222222222223</v>
      </c>
    </row>
    <row r="190" spans="1:19">
      <c r="A190" s="2">
        <v>4</v>
      </c>
      <c r="B190" s="2" t="s">
        <v>75</v>
      </c>
      <c r="C190" s="2" t="s">
        <v>66</v>
      </c>
      <c r="D190" s="2">
        <v>0</v>
      </c>
      <c r="F190" s="2">
        <v>1</v>
      </c>
      <c r="G190" s="42">
        <v>0.3527777777777778</v>
      </c>
      <c r="J190" s="42">
        <v>0.43611111111111112</v>
      </c>
      <c r="M190" s="42">
        <v>0.51944444444444449</v>
      </c>
      <c r="P190" s="42">
        <v>0.60277777777777775</v>
      </c>
      <c r="S190" s="42">
        <v>0.68611111111111101</v>
      </c>
    </row>
    <row r="191" spans="1:19">
      <c r="A191" s="2">
        <v>4</v>
      </c>
      <c r="B191" s="2" t="s">
        <v>74</v>
      </c>
      <c r="C191" s="2" t="s">
        <v>66</v>
      </c>
      <c r="D191" s="2">
        <v>0</v>
      </c>
      <c r="F191" s="2">
        <v>1</v>
      </c>
      <c r="G191" s="42">
        <v>0.35416666666666669</v>
      </c>
      <c r="J191" s="42">
        <v>0.4375</v>
      </c>
      <c r="M191" s="42">
        <v>0.52083333333333337</v>
      </c>
      <c r="P191" s="42">
        <v>0.60416666666666663</v>
      </c>
      <c r="S191" s="42">
        <v>0.6875</v>
      </c>
    </row>
    <row r="192" spans="1:19">
      <c r="A192" s="2">
        <v>4</v>
      </c>
      <c r="B192" s="2" t="s">
        <v>73</v>
      </c>
      <c r="C192" s="2" t="s">
        <v>66</v>
      </c>
      <c r="D192" s="2">
        <v>0</v>
      </c>
      <c r="F192" s="2">
        <v>2</v>
      </c>
      <c r="G192" s="42">
        <v>0.35694444444444445</v>
      </c>
      <c r="J192" s="42">
        <v>0.44027777777777777</v>
      </c>
      <c r="M192" s="42">
        <v>0.52361111111111114</v>
      </c>
      <c r="P192" s="42">
        <v>0.6069444444444444</v>
      </c>
      <c r="S192" s="42">
        <v>0.69027777777777777</v>
      </c>
    </row>
    <row r="193" spans="1:19">
      <c r="A193" s="2">
        <v>4</v>
      </c>
      <c r="B193" s="2" t="s">
        <v>72</v>
      </c>
      <c r="C193" s="2" t="s">
        <v>66</v>
      </c>
      <c r="D193" s="2">
        <v>0</v>
      </c>
      <c r="F193" s="2">
        <v>4</v>
      </c>
      <c r="G193" s="42">
        <v>0.35833333333333334</v>
      </c>
      <c r="J193" s="42">
        <v>0.44166666666666665</v>
      </c>
      <c r="M193" s="42">
        <v>0.52500000000000002</v>
      </c>
      <c r="P193" s="42">
        <v>0.60833333333333328</v>
      </c>
      <c r="S193" s="42">
        <v>0.69166666666666676</v>
      </c>
    </row>
    <row r="194" spans="1:19">
      <c r="A194" s="2">
        <v>4</v>
      </c>
      <c r="B194" s="2" t="s">
        <v>71</v>
      </c>
      <c r="C194" s="2" t="s">
        <v>66</v>
      </c>
      <c r="D194" s="2">
        <v>0</v>
      </c>
      <c r="F194" s="2">
        <v>2</v>
      </c>
      <c r="G194" s="42">
        <v>0.35972222222222222</v>
      </c>
      <c r="J194" s="42">
        <v>0.44305555555555554</v>
      </c>
      <c r="M194" s="42">
        <v>0.52638888888888891</v>
      </c>
      <c r="P194" s="42">
        <v>0.60972222222222217</v>
      </c>
      <c r="S194" s="42">
        <v>0.69305555555555554</v>
      </c>
    </row>
    <row r="195" spans="1:19">
      <c r="A195" s="2">
        <v>4</v>
      </c>
      <c r="B195" s="2" t="s">
        <v>70</v>
      </c>
      <c r="C195" s="2" t="s">
        <v>66</v>
      </c>
      <c r="D195" s="2">
        <v>0</v>
      </c>
      <c r="F195" s="2">
        <v>2</v>
      </c>
      <c r="G195" s="42">
        <v>0.36041666666666666</v>
      </c>
      <c r="J195" s="42">
        <v>0.44375000000000003</v>
      </c>
      <c r="M195" s="42">
        <v>0.52708333333333335</v>
      </c>
      <c r="P195" s="42">
        <v>0.61041666666666672</v>
      </c>
      <c r="S195" s="42">
        <v>0.69374999999999998</v>
      </c>
    </row>
    <row r="196" spans="1:19">
      <c r="A196" s="2">
        <v>4</v>
      </c>
      <c r="B196" s="2" t="s">
        <v>69</v>
      </c>
      <c r="C196" s="2" t="s">
        <v>66</v>
      </c>
      <c r="D196" s="2">
        <v>0</v>
      </c>
      <c r="F196" s="2">
        <v>2</v>
      </c>
      <c r="G196" s="42">
        <v>0.3611111111111111</v>
      </c>
      <c r="J196" s="42">
        <v>0.44444444444444442</v>
      </c>
      <c r="M196" s="42">
        <v>0.52777777777777779</v>
      </c>
      <c r="P196" s="42">
        <v>0.61111111111111105</v>
      </c>
      <c r="S196" s="42">
        <v>0.69444444444444453</v>
      </c>
    </row>
    <row r="197" spans="1:19">
      <c r="A197" s="2">
        <v>4</v>
      </c>
      <c r="B197" s="2" t="s">
        <v>68</v>
      </c>
      <c r="C197" s="2" t="s">
        <v>66</v>
      </c>
      <c r="D197" s="2">
        <v>0</v>
      </c>
      <c r="F197" s="2">
        <v>1</v>
      </c>
      <c r="G197" s="42">
        <v>0.36527777777777781</v>
      </c>
      <c r="J197" s="42">
        <v>0.44861111111111113</v>
      </c>
      <c r="M197" s="42">
        <v>0.53194444444444444</v>
      </c>
      <c r="P197" s="42">
        <v>0.61527777777777781</v>
      </c>
      <c r="S197" s="42">
        <v>0.69861111111111107</v>
      </c>
    </row>
    <row r="198" spans="1:19">
      <c r="A198" s="2">
        <v>4</v>
      </c>
      <c r="B198" s="2" t="s">
        <v>91</v>
      </c>
      <c r="C198" s="2" t="s">
        <v>66</v>
      </c>
      <c r="D198" s="2">
        <v>0</v>
      </c>
      <c r="F198" s="2">
        <v>11</v>
      </c>
      <c r="G198" s="42">
        <v>0.3659722222222222</v>
      </c>
      <c r="J198" s="42">
        <v>0.44930555555555557</v>
      </c>
      <c r="M198" s="42">
        <v>0.53263888888888888</v>
      </c>
      <c r="P198" s="42">
        <v>0.61597222222222225</v>
      </c>
      <c r="S198" s="42">
        <v>0.69930555555555562</v>
      </c>
    </row>
    <row r="199" spans="1:19">
      <c r="A199" s="2">
        <v>4</v>
      </c>
      <c r="B199" s="2" t="s">
        <v>64</v>
      </c>
      <c r="C199" s="2" t="s">
        <v>89</v>
      </c>
      <c r="D199" s="2">
        <v>0</v>
      </c>
      <c r="F199" s="2">
        <v>1</v>
      </c>
      <c r="G199" s="42">
        <v>0.36736111111111108</v>
      </c>
      <c r="J199" s="42">
        <v>0.45069444444444445</v>
      </c>
      <c r="M199" s="42">
        <v>0.53402777777777777</v>
      </c>
      <c r="P199" s="42">
        <v>0.61736111111111114</v>
      </c>
      <c r="S199" s="42">
        <v>0.7006944444444444</v>
      </c>
    </row>
    <row r="200" spans="1:19">
      <c r="A200" s="2">
        <v>9</v>
      </c>
      <c r="B200" s="2" t="s">
        <v>61</v>
      </c>
      <c r="C200" s="42">
        <v>0.71805555555555556</v>
      </c>
      <c r="D200" s="2" t="s">
        <v>64</v>
      </c>
      <c r="E200" s="42">
        <v>0.7006944444444444</v>
      </c>
      <c r="F200" s="2">
        <v>102</v>
      </c>
    </row>
    <row r="201" spans="1:19">
      <c r="A201" s="2">
        <v>6</v>
      </c>
      <c r="B201" s="42">
        <v>0.27986111111111112</v>
      </c>
      <c r="C201" s="2">
        <v>0</v>
      </c>
      <c r="D201" s="2" t="s">
        <v>61</v>
      </c>
      <c r="E201" s="2" t="s">
        <v>65</v>
      </c>
    </row>
    <row r="202" spans="1:19">
      <c r="A202" s="2">
        <v>99</v>
      </c>
    </row>
    <row r="203" spans="1:19">
      <c r="A203" s="2">
        <v>1</v>
      </c>
      <c r="B203" s="2">
        <v>6</v>
      </c>
      <c r="C203" s="2">
        <v>37</v>
      </c>
      <c r="D203" s="2" t="s">
        <v>59</v>
      </c>
      <c r="E203" s="2" t="s">
        <v>109</v>
      </c>
      <c r="F203" s="2" t="s">
        <v>110</v>
      </c>
      <c r="G203" s="2" t="s">
        <v>62</v>
      </c>
      <c r="H203" s="2" t="s">
        <v>63</v>
      </c>
      <c r="I203" s="42">
        <v>0.7055555555555556</v>
      </c>
      <c r="J203" s="43">
        <v>1.0958333333333334</v>
      </c>
      <c r="K203" s="2" t="s">
        <v>109</v>
      </c>
      <c r="L203" s="2" t="s">
        <v>110</v>
      </c>
      <c r="M203" s="2" t="s">
        <v>109</v>
      </c>
      <c r="N203" s="2" t="s">
        <v>110</v>
      </c>
    </row>
    <row r="204" spans="1:19">
      <c r="A204" s="2">
        <v>8</v>
      </c>
      <c r="B204" s="2" t="s">
        <v>110</v>
      </c>
      <c r="C204" s="42">
        <v>0.7055555555555556</v>
      </c>
      <c r="D204" s="2" t="s">
        <v>64</v>
      </c>
      <c r="E204" s="42">
        <v>0.71597222222222223</v>
      </c>
      <c r="F204" s="2">
        <v>107</v>
      </c>
    </row>
    <row r="205" spans="1:19">
      <c r="A205" s="2">
        <v>2</v>
      </c>
      <c r="B205" s="2" t="s">
        <v>111</v>
      </c>
      <c r="C205" s="2">
        <v>22</v>
      </c>
      <c r="D205" s="2" t="s">
        <v>47</v>
      </c>
      <c r="E205" s="2">
        <v>55</v>
      </c>
      <c r="F205" s="2">
        <v>14</v>
      </c>
      <c r="G205" s="2">
        <v>3</v>
      </c>
      <c r="H205" s="2">
        <v>751</v>
      </c>
    </row>
    <row r="206" spans="1:19">
      <c r="A206" s="2">
        <v>3</v>
      </c>
      <c r="B206" s="2">
        <v>2</v>
      </c>
      <c r="D206" s="2">
        <v>141</v>
      </c>
      <c r="E206" s="2">
        <v>148</v>
      </c>
      <c r="F206" s="2">
        <v>161</v>
      </c>
      <c r="G206" s="2">
        <v>164</v>
      </c>
      <c r="H206" s="2">
        <v>171</v>
      </c>
    </row>
    <row r="207" spans="1:19">
      <c r="A207" s="2">
        <v>3</v>
      </c>
      <c r="B207" s="2">
        <v>1</v>
      </c>
      <c r="D207" s="2">
        <v>3</v>
      </c>
      <c r="E207" s="2">
        <v>1</v>
      </c>
      <c r="F207" s="2">
        <v>3</v>
      </c>
      <c r="G207" s="2">
        <v>1</v>
      </c>
      <c r="H207" s="2">
        <v>3</v>
      </c>
    </row>
    <row r="208" spans="1:19">
      <c r="A208" s="2">
        <v>3</v>
      </c>
      <c r="B208" s="2">
        <v>3</v>
      </c>
      <c r="D208" s="2">
        <v>0</v>
      </c>
      <c r="E208" s="2">
        <v>0</v>
      </c>
      <c r="F208" s="2">
        <v>0</v>
      </c>
      <c r="G208" s="2">
        <v>0</v>
      </c>
      <c r="H208" s="2">
        <v>0</v>
      </c>
    </row>
    <row r="209" spans="1:25">
      <c r="A209" s="2">
        <v>3</v>
      </c>
      <c r="B209" s="2">
        <v>4</v>
      </c>
      <c r="D209" s="2">
        <v>0</v>
      </c>
      <c r="E209" s="2">
        <v>0</v>
      </c>
      <c r="F209" s="2">
        <v>0</v>
      </c>
      <c r="G209" s="2">
        <v>0</v>
      </c>
      <c r="H209" s="2">
        <v>0</v>
      </c>
    </row>
    <row r="210" spans="1:25">
      <c r="A210" s="2">
        <v>3</v>
      </c>
      <c r="B210" s="2">
        <v>5</v>
      </c>
    </row>
    <row r="211" spans="1:25">
      <c r="A211" s="2">
        <v>3</v>
      </c>
      <c r="B211" s="2">
        <v>6</v>
      </c>
    </row>
    <row r="212" spans="1:25">
      <c r="A212" s="2">
        <v>4</v>
      </c>
      <c r="B212" s="2" t="s">
        <v>107</v>
      </c>
      <c r="C212" s="2" t="s">
        <v>66</v>
      </c>
      <c r="D212" s="2">
        <v>0</v>
      </c>
      <c r="F212" s="2">
        <v>1</v>
      </c>
      <c r="G212" s="2" t="s">
        <v>90</v>
      </c>
      <c r="J212" s="42">
        <v>0.73958333333333337</v>
      </c>
      <c r="M212" s="42">
        <v>0.76041666666666663</v>
      </c>
      <c r="P212" s="42">
        <v>0.82291666666666663</v>
      </c>
      <c r="S212" s="42">
        <v>0.84375</v>
      </c>
      <c r="V212" s="42">
        <v>0.90625</v>
      </c>
      <c r="Y212" s="2" t="s">
        <v>90</v>
      </c>
    </row>
    <row r="213" spans="1:25">
      <c r="A213" s="2">
        <v>4</v>
      </c>
      <c r="B213" s="2" t="s">
        <v>106</v>
      </c>
      <c r="C213" s="2" t="s">
        <v>66</v>
      </c>
      <c r="D213" s="2">
        <v>0</v>
      </c>
      <c r="F213" s="2">
        <v>1</v>
      </c>
      <c r="G213" s="2" t="s">
        <v>90</v>
      </c>
      <c r="J213" s="42">
        <v>0.74097222222222225</v>
      </c>
      <c r="M213" s="42">
        <v>0.76180555555555562</v>
      </c>
      <c r="P213" s="42">
        <v>0.82430555555555562</v>
      </c>
      <c r="S213" s="42">
        <v>0.84513888888888899</v>
      </c>
      <c r="V213" s="42">
        <v>0.90763888888888899</v>
      </c>
      <c r="Y213" s="2" t="s">
        <v>90</v>
      </c>
    </row>
    <row r="214" spans="1:25">
      <c r="A214" s="2">
        <v>4</v>
      </c>
      <c r="B214" s="2" t="s">
        <v>105</v>
      </c>
      <c r="C214" s="2" t="s">
        <v>66</v>
      </c>
      <c r="D214" s="2">
        <v>0</v>
      </c>
      <c r="F214" s="2">
        <v>1</v>
      </c>
      <c r="G214" s="2" t="s">
        <v>90</v>
      </c>
      <c r="J214" s="42">
        <v>0.74305555555555547</v>
      </c>
      <c r="M214" s="42">
        <v>0.76388888888888884</v>
      </c>
      <c r="P214" s="42">
        <v>0.82638888888888884</v>
      </c>
      <c r="S214" s="42">
        <v>0.84722222222222221</v>
      </c>
      <c r="V214" s="42">
        <v>0.90972222222222221</v>
      </c>
      <c r="Y214" s="2" t="s">
        <v>90</v>
      </c>
    </row>
    <row r="215" spans="1:25">
      <c r="A215" s="2">
        <v>4</v>
      </c>
      <c r="B215" s="2" t="s">
        <v>104</v>
      </c>
      <c r="C215" s="2" t="s">
        <v>66</v>
      </c>
      <c r="D215" s="2">
        <v>0</v>
      </c>
      <c r="F215" s="2">
        <v>1</v>
      </c>
      <c r="G215" s="2" t="s">
        <v>90</v>
      </c>
      <c r="J215" s="42">
        <v>0.74375000000000002</v>
      </c>
      <c r="M215" s="42">
        <v>0.76458333333333339</v>
      </c>
      <c r="P215" s="42">
        <v>0.82708333333333339</v>
      </c>
      <c r="S215" s="42">
        <v>0.84791666666666676</v>
      </c>
      <c r="V215" s="42">
        <v>0.91041666666666676</v>
      </c>
      <c r="Y215" s="2" t="s">
        <v>90</v>
      </c>
    </row>
    <row r="216" spans="1:25">
      <c r="A216" s="2">
        <v>4</v>
      </c>
      <c r="B216" s="2" t="s">
        <v>103</v>
      </c>
      <c r="C216" s="2" t="s">
        <v>66</v>
      </c>
      <c r="D216" s="2">
        <v>0</v>
      </c>
      <c r="F216" s="2">
        <v>1</v>
      </c>
      <c r="G216" s="2" t="s">
        <v>90</v>
      </c>
      <c r="J216" s="42">
        <v>0.74444444444444446</v>
      </c>
      <c r="M216" s="42">
        <v>0.76527777777777783</v>
      </c>
      <c r="P216" s="42">
        <v>0.82777777777777783</v>
      </c>
      <c r="S216" s="42">
        <v>0.84861111111111109</v>
      </c>
      <c r="V216" s="42">
        <v>0.91111111111111109</v>
      </c>
      <c r="Y216" s="2" t="s">
        <v>90</v>
      </c>
    </row>
    <row r="217" spans="1:25">
      <c r="A217" s="2">
        <v>4</v>
      </c>
      <c r="B217" s="2" t="s">
        <v>112</v>
      </c>
      <c r="C217" s="2" t="s">
        <v>66</v>
      </c>
      <c r="D217" s="2">
        <v>0</v>
      </c>
      <c r="F217" s="2">
        <v>1</v>
      </c>
      <c r="G217" s="2" t="s">
        <v>90</v>
      </c>
      <c r="J217" s="42">
        <v>0.74652777777777779</v>
      </c>
      <c r="M217" s="42">
        <v>0.76736111111111116</v>
      </c>
      <c r="P217" s="42">
        <v>0.82986111111111116</v>
      </c>
      <c r="S217" s="42">
        <v>0.85069444444444453</v>
      </c>
      <c r="V217" s="42">
        <v>0.91319444444444453</v>
      </c>
      <c r="Y217" s="2" t="s">
        <v>90</v>
      </c>
    </row>
    <row r="218" spans="1:25">
      <c r="A218" s="2">
        <v>4</v>
      </c>
      <c r="B218" s="2" t="s">
        <v>102</v>
      </c>
      <c r="C218" s="2" t="s">
        <v>66</v>
      </c>
      <c r="D218" s="2">
        <v>0</v>
      </c>
      <c r="F218" s="2">
        <v>4</v>
      </c>
      <c r="G218" s="2" t="s">
        <v>90</v>
      </c>
      <c r="J218" s="2" t="s">
        <v>90</v>
      </c>
      <c r="M218" s="42">
        <v>0.7715277777777777</v>
      </c>
      <c r="P218" s="2" t="s">
        <v>90</v>
      </c>
      <c r="S218" s="42">
        <v>0.85486111111111107</v>
      </c>
      <c r="V218" s="2" t="s">
        <v>90</v>
      </c>
      <c r="Y218" s="2" t="s">
        <v>90</v>
      </c>
    </row>
    <row r="219" spans="1:25">
      <c r="A219" s="2">
        <v>4</v>
      </c>
      <c r="B219" s="2" t="s">
        <v>102</v>
      </c>
      <c r="C219" s="2" t="s">
        <v>66</v>
      </c>
      <c r="D219" s="2">
        <v>0</v>
      </c>
      <c r="F219" s="2">
        <v>5</v>
      </c>
      <c r="G219" s="2" t="s">
        <v>90</v>
      </c>
      <c r="J219" s="42">
        <v>0.74930555555555556</v>
      </c>
      <c r="M219" s="2" t="s">
        <v>90</v>
      </c>
      <c r="P219" s="42">
        <v>0.83263888888888893</v>
      </c>
      <c r="S219" s="2" t="s">
        <v>90</v>
      </c>
      <c r="V219" s="42">
        <v>0.9159722222222223</v>
      </c>
      <c r="Y219" s="2" t="s">
        <v>90</v>
      </c>
    </row>
    <row r="220" spans="1:25">
      <c r="A220" s="2">
        <v>4</v>
      </c>
      <c r="B220" s="2" t="s">
        <v>101</v>
      </c>
      <c r="C220" s="2" t="s">
        <v>66</v>
      </c>
      <c r="D220" s="2">
        <v>0</v>
      </c>
      <c r="F220" s="2">
        <v>1</v>
      </c>
      <c r="G220" s="2" t="s">
        <v>90</v>
      </c>
      <c r="J220" s="2" t="s">
        <v>90</v>
      </c>
      <c r="M220" s="42">
        <v>0.7729166666666667</v>
      </c>
      <c r="P220" s="2" t="s">
        <v>90</v>
      </c>
      <c r="S220" s="42">
        <v>0.85625000000000007</v>
      </c>
      <c r="V220" s="2" t="s">
        <v>90</v>
      </c>
      <c r="Y220" s="2" t="s">
        <v>90</v>
      </c>
    </row>
    <row r="221" spans="1:25">
      <c r="A221" s="2">
        <v>4</v>
      </c>
      <c r="B221" s="2" t="s">
        <v>100</v>
      </c>
      <c r="C221" s="2" t="s">
        <v>66</v>
      </c>
      <c r="D221" s="2">
        <v>0</v>
      </c>
      <c r="F221" s="2">
        <v>2</v>
      </c>
      <c r="G221" s="2" t="s">
        <v>90</v>
      </c>
      <c r="J221" s="2" t="s">
        <v>90</v>
      </c>
      <c r="M221" s="42">
        <v>0.77361111111111114</v>
      </c>
      <c r="P221" s="2" t="s">
        <v>90</v>
      </c>
      <c r="S221" s="42">
        <v>0.8569444444444444</v>
      </c>
      <c r="V221" s="2" t="s">
        <v>90</v>
      </c>
      <c r="Y221" s="2" t="s">
        <v>90</v>
      </c>
    </row>
    <row r="222" spans="1:25">
      <c r="A222" s="2">
        <v>4</v>
      </c>
      <c r="B222" s="2" t="s">
        <v>98</v>
      </c>
      <c r="C222" s="2" t="s">
        <v>66</v>
      </c>
      <c r="D222" s="2">
        <v>2</v>
      </c>
      <c r="E222" s="2" t="s">
        <v>99</v>
      </c>
      <c r="F222" s="2">
        <v>4</v>
      </c>
      <c r="G222" s="2" t="s">
        <v>90</v>
      </c>
      <c r="J222" s="2" t="s">
        <v>90</v>
      </c>
      <c r="M222" s="42">
        <v>0.77430555555555547</v>
      </c>
      <c r="P222" s="2" t="s">
        <v>90</v>
      </c>
      <c r="S222" s="42">
        <v>0.85763888888888884</v>
      </c>
      <c r="V222" s="2" t="s">
        <v>90</v>
      </c>
      <c r="Y222" s="2" t="s">
        <v>90</v>
      </c>
    </row>
    <row r="223" spans="1:25">
      <c r="A223" s="2">
        <v>4</v>
      </c>
      <c r="B223" s="2" t="s">
        <v>97</v>
      </c>
      <c r="C223" s="2" t="s">
        <v>66</v>
      </c>
      <c r="D223" s="2">
        <v>0</v>
      </c>
      <c r="F223" s="2">
        <v>1</v>
      </c>
      <c r="G223" s="2" t="s">
        <v>90</v>
      </c>
      <c r="J223" s="2" t="s">
        <v>90</v>
      </c>
      <c r="M223" s="42">
        <v>0.77500000000000002</v>
      </c>
      <c r="P223" s="2" t="s">
        <v>90</v>
      </c>
      <c r="S223" s="42">
        <v>0.85833333333333339</v>
      </c>
      <c r="V223" s="2" t="s">
        <v>90</v>
      </c>
      <c r="Y223" s="2" t="s">
        <v>90</v>
      </c>
    </row>
    <row r="224" spans="1:25">
      <c r="A224" s="2">
        <v>4</v>
      </c>
      <c r="B224" s="2" t="s">
        <v>96</v>
      </c>
      <c r="C224" s="2" t="s">
        <v>66</v>
      </c>
      <c r="D224" s="2">
        <v>0</v>
      </c>
      <c r="F224" s="2">
        <v>1</v>
      </c>
      <c r="G224" s="2" t="s">
        <v>90</v>
      </c>
      <c r="J224" s="2" t="s">
        <v>90</v>
      </c>
      <c r="M224" s="42">
        <v>0.77569444444444446</v>
      </c>
      <c r="P224" s="2" t="s">
        <v>90</v>
      </c>
      <c r="S224" s="42">
        <v>0.85902777777777783</v>
      </c>
      <c r="V224" s="2" t="s">
        <v>90</v>
      </c>
      <c r="Y224" s="2" t="s">
        <v>90</v>
      </c>
    </row>
    <row r="225" spans="1:25">
      <c r="A225" s="2">
        <v>4</v>
      </c>
      <c r="B225" s="2" t="s">
        <v>95</v>
      </c>
      <c r="C225" s="2" t="s">
        <v>66</v>
      </c>
      <c r="D225" s="2">
        <v>0</v>
      </c>
      <c r="F225" s="2">
        <v>1</v>
      </c>
      <c r="G225" s="2" t="s">
        <v>90</v>
      </c>
      <c r="J225" s="2" t="s">
        <v>90</v>
      </c>
      <c r="M225" s="42">
        <v>0.77638888888888891</v>
      </c>
      <c r="P225" s="2" t="s">
        <v>90</v>
      </c>
      <c r="S225" s="42">
        <v>0.85972222222222217</v>
      </c>
      <c r="V225" s="2" t="s">
        <v>90</v>
      </c>
      <c r="Y225" s="2" t="s">
        <v>90</v>
      </c>
    </row>
    <row r="226" spans="1:25">
      <c r="A226" s="2">
        <v>4</v>
      </c>
      <c r="B226" s="2" t="s">
        <v>67</v>
      </c>
      <c r="C226" s="2" t="s">
        <v>66</v>
      </c>
      <c r="D226" s="2">
        <v>0</v>
      </c>
      <c r="F226" s="2">
        <v>1</v>
      </c>
      <c r="G226" s="2" t="s">
        <v>90</v>
      </c>
      <c r="J226" s="2" t="s">
        <v>90</v>
      </c>
      <c r="M226" s="42">
        <v>0.77638888888888891</v>
      </c>
      <c r="P226" s="2" t="s">
        <v>90</v>
      </c>
      <c r="S226" s="42">
        <v>0.85972222222222217</v>
      </c>
      <c r="V226" s="2" t="s">
        <v>90</v>
      </c>
      <c r="Y226" s="2" t="s">
        <v>90</v>
      </c>
    </row>
    <row r="227" spans="1:25">
      <c r="A227" s="2">
        <v>4</v>
      </c>
      <c r="B227" s="2" t="s">
        <v>91</v>
      </c>
      <c r="C227" s="2" t="s">
        <v>66</v>
      </c>
      <c r="D227" s="2">
        <v>0</v>
      </c>
      <c r="F227" s="2">
        <v>1</v>
      </c>
      <c r="G227" s="2" t="s">
        <v>90</v>
      </c>
      <c r="J227" s="2" t="s">
        <v>90</v>
      </c>
      <c r="M227" s="42">
        <v>0.77708333333333324</v>
      </c>
      <c r="P227" s="2" t="s">
        <v>90</v>
      </c>
      <c r="S227" s="42">
        <v>0.86041666666666661</v>
      </c>
      <c r="V227" s="2" t="s">
        <v>90</v>
      </c>
      <c r="Y227" s="2" t="s">
        <v>90</v>
      </c>
    </row>
    <row r="228" spans="1:25">
      <c r="A228" s="2">
        <v>4</v>
      </c>
      <c r="B228" s="2" t="s">
        <v>64</v>
      </c>
      <c r="C228" s="2" t="s">
        <v>89</v>
      </c>
      <c r="D228" s="2">
        <v>0</v>
      </c>
      <c r="F228" s="2">
        <v>1</v>
      </c>
      <c r="G228" s="2" t="s">
        <v>90</v>
      </c>
      <c r="J228" s="2" t="s">
        <v>90</v>
      </c>
      <c r="M228" s="42">
        <v>0.77847222222222223</v>
      </c>
      <c r="P228" s="2" t="s">
        <v>90</v>
      </c>
      <c r="S228" s="42">
        <v>0.8618055555555556</v>
      </c>
      <c r="V228" s="2" t="s">
        <v>90</v>
      </c>
      <c r="Y228" s="2" t="s">
        <v>90</v>
      </c>
    </row>
    <row r="229" spans="1:25">
      <c r="A229" s="2">
        <v>5</v>
      </c>
      <c r="B229" s="2" t="s">
        <v>27</v>
      </c>
      <c r="C229" s="2" t="s">
        <v>111</v>
      </c>
      <c r="D229" s="2" t="s">
        <v>47</v>
      </c>
      <c r="E229" s="2">
        <v>22</v>
      </c>
    </row>
    <row r="230" spans="1:25">
      <c r="A230" s="2">
        <v>3</v>
      </c>
      <c r="B230" s="2">
        <v>2</v>
      </c>
      <c r="C230" s="2">
        <v>296</v>
      </c>
      <c r="D230" s="2">
        <v>305</v>
      </c>
      <c r="E230" s="2">
        <v>322</v>
      </c>
      <c r="F230" s="2">
        <v>329</v>
      </c>
      <c r="G230" s="2">
        <v>338</v>
      </c>
      <c r="H230" s="2">
        <v>341</v>
      </c>
    </row>
    <row r="231" spans="1:25">
      <c r="A231" s="2">
        <v>3</v>
      </c>
      <c r="B231" s="2">
        <v>1</v>
      </c>
      <c r="C231" s="2">
        <v>2</v>
      </c>
      <c r="D231" s="2">
        <v>4</v>
      </c>
      <c r="E231" s="2">
        <v>2</v>
      </c>
      <c r="F231" s="2">
        <v>4</v>
      </c>
      <c r="G231" s="2">
        <v>2</v>
      </c>
      <c r="H231" s="2">
        <v>4</v>
      </c>
    </row>
    <row r="232" spans="1:25">
      <c r="A232" s="2">
        <v>3</v>
      </c>
      <c r="B232" s="2">
        <v>3</v>
      </c>
      <c r="C232" s="2">
        <v>0</v>
      </c>
      <c r="D232" s="2">
        <v>0</v>
      </c>
      <c r="E232" s="2">
        <v>0</v>
      </c>
      <c r="F232" s="2">
        <v>0</v>
      </c>
      <c r="G232" s="2">
        <v>0</v>
      </c>
      <c r="H232" s="2">
        <v>0</v>
      </c>
    </row>
    <row r="233" spans="1:25">
      <c r="A233" s="2">
        <v>3</v>
      </c>
      <c r="B233" s="2">
        <v>4</v>
      </c>
      <c r="C233" s="2">
        <v>0</v>
      </c>
      <c r="D233" s="2">
        <v>0</v>
      </c>
      <c r="E233" s="2">
        <v>0</v>
      </c>
      <c r="F233" s="2">
        <v>0</v>
      </c>
      <c r="G233" s="2">
        <v>0</v>
      </c>
      <c r="H233" s="2">
        <v>0</v>
      </c>
    </row>
    <row r="234" spans="1:25">
      <c r="A234" s="2">
        <v>3</v>
      </c>
      <c r="B234" s="2">
        <v>5</v>
      </c>
    </row>
    <row r="235" spans="1:25">
      <c r="A235" s="2">
        <v>3</v>
      </c>
      <c r="B235" s="2">
        <v>6</v>
      </c>
    </row>
    <row r="236" spans="1:25">
      <c r="A236" s="2">
        <v>4</v>
      </c>
      <c r="B236" s="2" t="s">
        <v>64</v>
      </c>
      <c r="C236" s="2" t="s">
        <v>66</v>
      </c>
      <c r="D236" s="2">
        <v>0</v>
      </c>
      <c r="F236" s="2">
        <v>1</v>
      </c>
      <c r="G236" s="42">
        <v>0.71597222222222223</v>
      </c>
      <c r="J236" s="2" t="s">
        <v>90</v>
      </c>
      <c r="M236" s="42">
        <v>0.7993055555555556</v>
      </c>
      <c r="P236" s="2" t="s">
        <v>90</v>
      </c>
      <c r="S236" s="42">
        <v>0.88958333333333339</v>
      </c>
      <c r="V236" s="2" t="s">
        <v>90</v>
      </c>
    </row>
    <row r="237" spans="1:25">
      <c r="A237" s="2">
        <v>4</v>
      </c>
      <c r="B237" s="2" t="s">
        <v>95</v>
      </c>
      <c r="C237" s="2" t="s">
        <v>66</v>
      </c>
      <c r="D237" s="2">
        <v>0</v>
      </c>
      <c r="F237" s="2">
        <v>2</v>
      </c>
      <c r="G237" s="42">
        <v>0.71736111111111101</v>
      </c>
      <c r="J237" s="2" t="s">
        <v>90</v>
      </c>
      <c r="M237" s="42">
        <v>0.80069444444444438</v>
      </c>
      <c r="P237" s="2" t="s">
        <v>90</v>
      </c>
      <c r="S237" s="42">
        <v>0.89097222222222217</v>
      </c>
      <c r="V237" s="2" t="s">
        <v>90</v>
      </c>
    </row>
    <row r="238" spans="1:25">
      <c r="A238" s="2">
        <v>4</v>
      </c>
      <c r="B238" s="2" t="s">
        <v>96</v>
      </c>
      <c r="C238" s="2" t="s">
        <v>66</v>
      </c>
      <c r="D238" s="2">
        <v>0</v>
      </c>
      <c r="F238" s="2">
        <v>2</v>
      </c>
      <c r="G238" s="42">
        <v>0.71805555555555556</v>
      </c>
      <c r="J238" s="2" t="s">
        <v>90</v>
      </c>
      <c r="M238" s="42">
        <v>0.80138888888888893</v>
      </c>
      <c r="P238" s="2" t="s">
        <v>90</v>
      </c>
      <c r="S238" s="42">
        <v>0.89166666666666661</v>
      </c>
      <c r="V238" s="2" t="s">
        <v>90</v>
      </c>
    </row>
    <row r="239" spans="1:25">
      <c r="A239" s="2">
        <v>4</v>
      </c>
      <c r="B239" s="2" t="s">
        <v>97</v>
      </c>
      <c r="C239" s="2" t="s">
        <v>66</v>
      </c>
      <c r="D239" s="2">
        <v>0</v>
      </c>
      <c r="F239" s="2">
        <v>2</v>
      </c>
      <c r="G239" s="42">
        <v>0.71875</v>
      </c>
      <c r="J239" s="2" t="s">
        <v>90</v>
      </c>
      <c r="M239" s="42">
        <v>0.80208333333333337</v>
      </c>
      <c r="P239" s="2" t="s">
        <v>90</v>
      </c>
      <c r="S239" s="42">
        <v>0.89236111111111116</v>
      </c>
      <c r="V239" s="2" t="s">
        <v>90</v>
      </c>
    </row>
    <row r="240" spans="1:25">
      <c r="A240" s="2">
        <v>4</v>
      </c>
      <c r="B240" s="2" t="s">
        <v>98</v>
      </c>
      <c r="C240" s="2" t="s">
        <v>66</v>
      </c>
      <c r="D240" s="2">
        <v>2</v>
      </c>
      <c r="E240" s="2" t="s">
        <v>99</v>
      </c>
      <c r="F240" s="2">
        <v>3</v>
      </c>
      <c r="G240" s="42">
        <v>0.71944444444444444</v>
      </c>
      <c r="J240" s="2" t="s">
        <v>90</v>
      </c>
      <c r="M240" s="42">
        <v>0.8027777777777777</v>
      </c>
      <c r="P240" s="2" t="s">
        <v>90</v>
      </c>
      <c r="S240" s="42">
        <v>0.8930555555555556</v>
      </c>
      <c r="V240" s="2" t="s">
        <v>90</v>
      </c>
    </row>
    <row r="241" spans="1:22">
      <c r="A241" s="2">
        <v>4</v>
      </c>
      <c r="B241" s="2" t="s">
        <v>100</v>
      </c>
      <c r="C241" s="2" t="s">
        <v>66</v>
      </c>
      <c r="D241" s="2">
        <v>0</v>
      </c>
      <c r="F241" s="2">
        <v>1</v>
      </c>
      <c r="G241" s="42">
        <v>0.72013888888888899</v>
      </c>
      <c r="J241" s="2" t="s">
        <v>90</v>
      </c>
      <c r="M241" s="42">
        <v>0.80347222222222225</v>
      </c>
      <c r="P241" s="2" t="s">
        <v>90</v>
      </c>
      <c r="S241" s="42">
        <v>0.89374999999999993</v>
      </c>
      <c r="V241" s="2" t="s">
        <v>90</v>
      </c>
    </row>
    <row r="242" spans="1:22">
      <c r="A242" s="2">
        <v>4</v>
      </c>
      <c r="B242" s="2" t="s">
        <v>101</v>
      </c>
      <c r="C242" s="2" t="s">
        <v>66</v>
      </c>
      <c r="D242" s="2">
        <v>0</v>
      </c>
      <c r="F242" s="2">
        <v>2</v>
      </c>
      <c r="G242" s="42">
        <v>0.72083333333333333</v>
      </c>
      <c r="J242" s="2" t="s">
        <v>90</v>
      </c>
      <c r="M242" s="42">
        <v>0.8041666666666667</v>
      </c>
      <c r="P242" s="2" t="s">
        <v>90</v>
      </c>
      <c r="S242" s="42">
        <v>0.89444444444444438</v>
      </c>
      <c r="V242" s="2" t="s">
        <v>90</v>
      </c>
    </row>
    <row r="243" spans="1:22">
      <c r="A243" s="2">
        <v>4</v>
      </c>
      <c r="B243" s="2" t="s">
        <v>102</v>
      </c>
      <c r="C243" s="2" t="s">
        <v>66</v>
      </c>
      <c r="D243" s="2">
        <v>0</v>
      </c>
      <c r="F243" s="2">
        <v>5</v>
      </c>
      <c r="G243" s="2" t="s">
        <v>90</v>
      </c>
      <c r="J243" s="42">
        <v>0.75</v>
      </c>
      <c r="M243" s="2" t="s">
        <v>90</v>
      </c>
      <c r="P243" s="42">
        <v>0.83333333333333337</v>
      </c>
      <c r="S243" s="2" t="s">
        <v>90</v>
      </c>
      <c r="V243" s="42">
        <v>0.91666666666666663</v>
      </c>
    </row>
    <row r="244" spans="1:22">
      <c r="A244" s="2">
        <v>4</v>
      </c>
      <c r="B244" s="2" t="s">
        <v>102</v>
      </c>
      <c r="C244" s="2" t="s">
        <v>66</v>
      </c>
      <c r="D244" s="2">
        <v>0</v>
      </c>
      <c r="F244" s="2">
        <v>3</v>
      </c>
      <c r="G244" s="42">
        <v>0.72222222222222221</v>
      </c>
      <c r="J244" s="42">
        <v>0.75</v>
      </c>
      <c r="M244" s="42">
        <v>0.80555555555555547</v>
      </c>
      <c r="P244" s="42">
        <v>0.83333333333333337</v>
      </c>
      <c r="S244" s="42">
        <v>0.89583333333333337</v>
      </c>
      <c r="V244" s="42">
        <v>0.91666666666666663</v>
      </c>
    </row>
    <row r="245" spans="1:22">
      <c r="A245" s="2">
        <v>4</v>
      </c>
      <c r="B245" s="2" t="s">
        <v>112</v>
      </c>
      <c r="C245" s="2" t="s">
        <v>66</v>
      </c>
      <c r="D245" s="2">
        <v>0</v>
      </c>
      <c r="F245" s="2">
        <v>1</v>
      </c>
      <c r="G245" s="42">
        <v>0.72430555555555554</v>
      </c>
      <c r="J245" s="42">
        <v>0.75208333333333333</v>
      </c>
      <c r="M245" s="42">
        <v>0.80763888888888891</v>
      </c>
      <c r="P245" s="42">
        <v>0.8354166666666667</v>
      </c>
      <c r="S245" s="42">
        <v>0.8979166666666667</v>
      </c>
      <c r="V245" s="42">
        <v>0.91875000000000007</v>
      </c>
    </row>
    <row r="246" spans="1:22">
      <c r="A246" s="2">
        <v>4</v>
      </c>
      <c r="B246" s="2" t="s">
        <v>103</v>
      </c>
      <c r="C246" s="2" t="s">
        <v>66</v>
      </c>
      <c r="D246" s="2">
        <v>0</v>
      </c>
      <c r="F246" s="2">
        <v>2</v>
      </c>
      <c r="G246" s="42">
        <v>0.72638888888888886</v>
      </c>
      <c r="J246" s="42">
        <v>0.75416666666666676</v>
      </c>
      <c r="M246" s="42">
        <v>0.80972222222222223</v>
      </c>
      <c r="P246" s="42">
        <v>0.83750000000000002</v>
      </c>
      <c r="S246" s="42">
        <v>0.9</v>
      </c>
      <c r="V246" s="42">
        <v>0.92083333333333339</v>
      </c>
    </row>
    <row r="247" spans="1:22">
      <c r="A247" s="2">
        <v>4</v>
      </c>
      <c r="B247" s="2" t="s">
        <v>104</v>
      </c>
      <c r="C247" s="2" t="s">
        <v>66</v>
      </c>
      <c r="D247" s="2">
        <v>0</v>
      </c>
      <c r="F247" s="2">
        <v>2</v>
      </c>
      <c r="G247" s="42">
        <v>0.7270833333333333</v>
      </c>
      <c r="J247" s="42">
        <v>0.75486111111111109</v>
      </c>
      <c r="M247" s="42">
        <v>0.81041666666666667</v>
      </c>
      <c r="P247" s="42">
        <v>0.83819444444444446</v>
      </c>
      <c r="S247" s="42">
        <v>0.90069444444444446</v>
      </c>
      <c r="V247" s="42">
        <v>0.92152777777777783</v>
      </c>
    </row>
    <row r="248" spans="1:22">
      <c r="A248" s="2">
        <v>4</v>
      </c>
      <c r="B248" s="2" t="s">
        <v>105</v>
      </c>
      <c r="C248" s="2" t="s">
        <v>66</v>
      </c>
      <c r="D248" s="2">
        <v>0</v>
      </c>
      <c r="F248" s="2">
        <v>2</v>
      </c>
      <c r="G248" s="42">
        <v>0.72777777777777775</v>
      </c>
      <c r="J248" s="42">
        <v>0.75555555555555554</v>
      </c>
      <c r="M248" s="42">
        <v>0.81111111111111101</v>
      </c>
      <c r="P248" s="42">
        <v>0.83888888888888891</v>
      </c>
      <c r="S248" s="42">
        <v>0.90138888888888891</v>
      </c>
      <c r="V248" s="42">
        <v>0.92222222222222217</v>
      </c>
    </row>
    <row r="249" spans="1:22">
      <c r="A249" s="2">
        <v>4</v>
      </c>
      <c r="B249" s="2" t="s">
        <v>106</v>
      </c>
      <c r="C249" s="2" t="s">
        <v>66</v>
      </c>
      <c r="D249" s="2">
        <v>0</v>
      </c>
      <c r="F249" s="2">
        <v>2</v>
      </c>
      <c r="G249" s="42">
        <v>0.72986111111111107</v>
      </c>
      <c r="J249" s="42">
        <v>0.75763888888888886</v>
      </c>
      <c r="M249" s="42">
        <v>0.81319444444444444</v>
      </c>
      <c r="P249" s="42">
        <v>0.84097222222222223</v>
      </c>
      <c r="S249" s="42">
        <v>0.90347222222222223</v>
      </c>
      <c r="V249" s="42">
        <v>0.9243055555555556</v>
      </c>
    </row>
    <row r="250" spans="1:22">
      <c r="A250" s="2">
        <v>4</v>
      </c>
      <c r="B250" s="2" t="s">
        <v>107</v>
      </c>
      <c r="C250" s="2" t="s">
        <v>89</v>
      </c>
      <c r="D250" s="2">
        <v>0</v>
      </c>
      <c r="F250" s="2">
        <v>1</v>
      </c>
      <c r="G250" s="42">
        <v>0.73125000000000007</v>
      </c>
      <c r="J250" s="42">
        <v>0.75902777777777775</v>
      </c>
      <c r="M250" s="42">
        <v>0.81458333333333333</v>
      </c>
      <c r="P250" s="42">
        <v>0.84236111111111101</v>
      </c>
      <c r="S250" s="42">
        <v>0.90486111111111101</v>
      </c>
      <c r="V250" s="42">
        <v>0.92569444444444438</v>
      </c>
    </row>
    <row r="251" spans="1:22">
      <c r="A251" s="2">
        <v>2</v>
      </c>
      <c r="B251" s="2" t="s">
        <v>65</v>
      </c>
      <c r="C251" s="2">
        <v>22</v>
      </c>
      <c r="D251" s="2" t="s">
        <v>46</v>
      </c>
      <c r="E251" s="2">
        <v>82</v>
      </c>
      <c r="F251" s="2">
        <v>14</v>
      </c>
      <c r="G251" s="2">
        <v>3</v>
      </c>
      <c r="H251" s="2">
        <v>750</v>
      </c>
    </row>
    <row r="252" spans="1:22">
      <c r="A252" s="2">
        <v>3</v>
      </c>
      <c r="B252" s="2">
        <v>2</v>
      </c>
      <c r="C252" s="2">
        <v>205</v>
      </c>
      <c r="D252" s="2">
        <v>222</v>
      </c>
      <c r="E252" s="2">
        <v>227</v>
      </c>
    </row>
    <row r="253" spans="1:22">
      <c r="A253" s="2">
        <v>3</v>
      </c>
      <c r="B253" s="2">
        <v>1</v>
      </c>
      <c r="C253" s="2">
        <v>135</v>
      </c>
      <c r="D253" s="2">
        <v>7</v>
      </c>
      <c r="E253" s="2">
        <v>7</v>
      </c>
    </row>
    <row r="254" spans="1:22">
      <c r="A254" s="2">
        <v>3</v>
      </c>
      <c r="B254" s="2">
        <v>3</v>
      </c>
      <c r="C254" s="2">
        <v>0</v>
      </c>
      <c r="D254" s="2">
        <v>0</v>
      </c>
      <c r="E254" s="2">
        <v>0</v>
      </c>
    </row>
    <row r="255" spans="1:22">
      <c r="A255" s="2">
        <v>3</v>
      </c>
      <c r="B255" s="2">
        <v>4</v>
      </c>
      <c r="C255" s="2">
        <v>3</v>
      </c>
      <c r="D255" s="2">
        <v>0</v>
      </c>
      <c r="E255" s="2">
        <v>0</v>
      </c>
    </row>
    <row r="256" spans="1:22">
      <c r="A256" s="2">
        <v>3</v>
      </c>
      <c r="B256" s="2">
        <v>5</v>
      </c>
    </row>
    <row r="257" spans="1:13">
      <c r="A257" s="2">
        <v>3</v>
      </c>
      <c r="B257" s="2">
        <v>6</v>
      </c>
    </row>
    <row r="258" spans="1:13">
      <c r="A258" s="2">
        <v>4</v>
      </c>
      <c r="B258" s="2" t="s">
        <v>107</v>
      </c>
      <c r="C258" s="2" t="s">
        <v>66</v>
      </c>
      <c r="D258" s="2">
        <v>0</v>
      </c>
      <c r="F258" s="2">
        <v>1</v>
      </c>
      <c r="G258" s="42">
        <v>0.92569444444444438</v>
      </c>
      <c r="J258" s="2" t="s">
        <v>90</v>
      </c>
      <c r="M258" s="2" t="s">
        <v>90</v>
      </c>
    </row>
    <row r="259" spans="1:13">
      <c r="A259" s="2">
        <v>4</v>
      </c>
      <c r="B259" s="2" t="s">
        <v>75</v>
      </c>
      <c r="C259" s="2" t="s">
        <v>66</v>
      </c>
      <c r="D259" s="2">
        <v>0</v>
      </c>
      <c r="F259" s="2">
        <v>1</v>
      </c>
      <c r="G259" s="2" t="s">
        <v>90</v>
      </c>
      <c r="J259" s="42">
        <v>0</v>
      </c>
      <c r="M259" s="42">
        <v>4.1666666666666664E-2</v>
      </c>
    </row>
    <row r="260" spans="1:13">
      <c r="A260" s="2">
        <v>4</v>
      </c>
      <c r="B260" s="2" t="s">
        <v>74</v>
      </c>
      <c r="C260" s="2" t="s">
        <v>66</v>
      </c>
      <c r="D260" s="2">
        <v>0</v>
      </c>
      <c r="F260" s="2">
        <v>1</v>
      </c>
      <c r="G260" s="2" t="s">
        <v>90</v>
      </c>
      <c r="J260" s="42">
        <v>1.3888888888888889E-3</v>
      </c>
      <c r="M260" s="42">
        <v>4.3055555555555562E-2</v>
      </c>
    </row>
    <row r="261" spans="1:13">
      <c r="A261" s="2">
        <v>4</v>
      </c>
      <c r="B261" s="2" t="s">
        <v>76</v>
      </c>
      <c r="C261" s="2" t="s">
        <v>66</v>
      </c>
      <c r="D261" s="2">
        <v>0</v>
      </c>
      <c r="F261" s="2">
        <v>1</v>
      </c>
      <c r="G261" s="2" t="s">
        <v>90</v>
      </c>
      <c r="J261" s="42">
        <v>4.1666666666666666E-3</v>
      </c>
      <c r="M261" s="42">
        <v>4.5833333333333337E-2</v>
      </c>
    </row>
    <row r="262" spans="1:13">
      <c r="A262" s="2">
        <v>4</v>
      </c>
      <c r="B262" s="2" t="s">
        <v>77</v>
      </c>
      <c r="C262" s="2" t="s">
        <v>66</v>
      </c>
      <c r="D262" s="2">
        <v>0</v>
      </c>
      <c r="F262" s="2">
        <v>1</v>
      </c>
      <c r="G262" s="2" t="s">
        <v>90</v>
      </c>
      <c r="J262" s="42">
        <v>4.1666666666666666E-3</v>
      </c>
      <c r="M262" s="42">
        <v>4.5833333333333337E-2</v>
      </c>
    </row>
    <row r="263" spans="1:13">
      <c r="A263" s="2">
        <v>4</v>
      </c>
      <c r="B263" s="2" t="s">
        <v>78</v>
      </c>
      <c r="C263" s="2" t="s">
        <v>66</v>
      </c>
      <c r="D263" s="2">
        <v>0</v>
      </c>
      <c r="F263" s="2">
        <v>1</v>
      </c>
      <c r="G263" s="2" t="s">
        <v>90</v>
      </c>
      <c r="J263" s="42">
        <v>4.8611111111111112E-3</v>
      </c>
      <c r="M263" s="42">
        <v>4.6527777777777779E-2</v>
      </c>
    </row>
    <row r="264" spans="1:13">
      <c r="A264" s="2">
        <v>4</v>
      </c>
      <c r="B264" s="2" t="s">
        <v>79</v>
      </c>
      <c r="C264" s="2" t="s">
        <v>66</v>
      </c>
      <c r="D264" s="2">
        <v>0</v>
      </c>
      <c r="F264" s="2">
        <v>1</v>
      </c>
      <c r="G264" s="2" t="s">
        <v>90</v>
      </c>
      <c r="J264" s="42">
        <v>5.5555555555555558E-3</v>
      </c>
      <c r="M264" s="42">
        <v>4.7222222222222221E-2</v>
      </c>
    </row>
    <row r="265" spans="1:13">
      <c r="A265" s="2">
        <v>4</v>
      </c>
      <c r="B265" s="2" t="s">
        <v>80</v>
      </c>
      <c r="C265" s="2" t="s">
        <v>66</v>
      </c>
      <c r="D265" s="2">
        <v>0</v>
      </c>
      <c r="F265" s="2">
        <v>1</v>
      </c>
      <c r="G265" s="2" t="s">
        <v>90</v>
      </c>
      <c r="J265" s="42">
        <v>6.2499999999999995E-3</v>
      </c>
      <c r="M265" s="42">
        <v>4.7916666666666663E-2</v>
      </c>
    </row>
    <row r="266" spans="1:13">
      <c r="A266" s="2">
        <v>4</v>
      </c>
      <c r="B266" s="2" t="s">
        <v>81</v>
      </c>
      <c r="C266" s="2" t="s">
        <v>66</v>
      </c>
      <c r="D266" s="2">
        <v>0</v>
      </c>
      <c r="F266" s="2">
        <v>1</v>
      </c>
      <c r="G266" s="2" t="s">
        <v>90</v>
      </c>
      <c r="J266" s="42">
        <v>6.9444444444444441E-3</v>
      </c>
      <c r="M266" s="42">
        <v>4.8611111111111112E-2</v>
      </c>
    </row>
    <row r="267" spans="1:13">
      <c r="A267" s="2">
        <v>4</v>
      </c>
      <c r="B267" s="2" t="s">
        <v>82</v>
      </c>
      <c r="C267" s="2" t="s">
        <v>66</v>
      </c>
      <c r="D267" s="2">
        <v>0</v>
      </c>
      <c r="F267" s="2">
        <v>1</v>
      </c>
      <c r="G267" s="2" t="s">
        <v>90</v>
      </c>
      <c r="J267" s="42">
        <v>6.9444444444444441E-3</v>
      </c>
      <c r="M267" s="42">
        <v>4.8611111111111112E-2</v>
      </c>
    </row>
    <row r="268" spans="1:13">
      <c r="A268" s="2">
        <v>4</v>
      </c>
      <c r="B268" s="2" t="s">
        <v>83</v>
      </c>
      <c r="C268" s="2" t="s">
        <v>66</v>
      </c>
      <c r="D268" s="2">
        <v>0</v>
      </c>
      <c r="F268" s="2">
        <v>1</v>
      </c>
      <c r="G268" s="2" t="s">
        <v>90</v>
      </c>
      <c r="J268" s="42">
        <v>7.6388888888888886E-3</v>
      </c>
      <c r="M268" s="42">
        <v>4.9305555555555554E-2</v>
      </c>
    </row>
    <row r="269" spans="1:13">
      <c r="A269" s="2">
        <v>4</v>
      </c>
      <c r="B269" s="2" t="s">
        <v>84</v>
      </c>
      <c r="C269" s="2" t="s">
        <v>66</v>
      </c>
      <c r="D269" s="2">
        <v>0</v>
      </c>
      <c r="F269" s="2">
        <v>3</v>
      </c>
      <c r="G269" s="2" t="s">
        <v>90</v>
      </c>
      <c r="J269" s="42">
        <v>8.3333333333333332E-3</v>
      </c>
      <c r="M269" s="42">
        <v>4.9999999999999996E-2</v>
      </c>
    </row>
    <row r="270" spans="1:13">
      <c r="A270" s="2">
        <v>4</v>
      </c>
      <c r="B270" s="2" t="s">
        <v>84</v>
      </c>
      <c r="C270" s="2" t="s">
        <v>66</v>
      </c>
      <c r="D270" s="2">
        <v>0</v>
      </c>
      <c r="F270" s="2">
        <v>1</v>
      </c>
      <c r="G270" s="2" t="s">
        <v>90</v>
      </c>
      <c r="J270" s="42">
        <v>9.0277777777777787E-3</v>
      </c>
      <c r="M270" s="42">
        <v>5.0694444444444452E-2</v>
      </c>
    </row>
    <row r="271" spans="1:13">
      <c r="A271" s="2">
        <v>4</v>
      </c>
      <c r="B271" s="2" t="s">
        <v>85</v>
      </c>
      <c r="C271" s="2" t="s">
        <v>66</v>
      </c>
      <c r="D271" s="2">
        <v>0</v>
      </c>
      <c r="F271" s="2">
        <v>1</v>
      </c>
      <c r="G271" s="2" t="s">
        <v>90</v>
      </c>
      <c r="J271" s="42">
        <v>9.7222222222222224E-3</v>
      </c>
      <c r="M271" s="42">
        <v>5.1388888888888894E-2</v>
      </c>
    </row>
    <row r="272" spans="1:13">
      <c r="A272" s="2">
        <v>4</v>
      </c>
      <c r="B272" s="2" t="s">
        <v>86</v>
      </c>
      <c r="C272" s="2" t="s">
        <v>66</v>
      </c>
      <c r="D272" s="2">
        <v>0</v>
      </c>
      <c r="F272" s="2">
        <v>1</v>
      </c>
      <c r="G272" s="2" t="s">
        <v>90</v>
      </c>
      <c r="J272" s="42">
        <v>1.1111111111111112E-2</v>
      </c>
      <c r="M272" s="42">
        <v>5.2777777777777778E-2</v>
      </c>
    </row>
    <row r="273" spans="1:13">
      <c r="A273" s="2">
        <v>4</v>
      </c>
      <c r="B273" s="2" t="s">
        <v>87</v>
      </c>
      <c r="C273" s="2" t="s">
        <v>66</v>
      </c>
      <c r="D273" s="2">
        <v>0</v>
      </c>
      <c r="F273" s="2">
        <v>1</v>
      </c>
      <c r="G273" s="2" t="s">
        <v>90</v>
      </c>
      <c r="J273" s="42">
        <v>1.2499999999999999E-2</v>
      </c>
      <c r="M273" s="42">
        <v>5.4166666666666669E-2</v>
      </c>
    </row>
    <row r="274" spans="1:13">
      <c r="A274" s="2">
        <v>4</v>
      </c>
      <c r="B274" s="2" t="s">
        <v>88</v>
      </c>
      <c r="C274" s="2" t="s">
        <v>89</v>
      </c>
      <c r="D274" s="2">
        <v>0</v>
      </c>
      <c r="F274" s="2">
        <v>3</v>
      </c>
      <c r="G274" s="42">
        <v>0.93958333333333333</v>
      </c>
      <c r="J274" s="42">
        <v>1.3888888888888888E-2</v>
      </c>
      <c r="M274" s="42">
        <v>5.5555555555555552E-2</v>
      </c>
    </row>
    <row r="275" spans="1:13">
      <c r="A275" s="2">
        <v>5</v>
      </c>
      <c r="B275" s="2" t="s">
        <v>27</v>
      </c>
      <c r="C275" s="2" t="s">
        <v>65</v>
      </c>
      <c r="D275" s="2" t="s">
        <v>46</v>
      </c>
      <c r="E275" s="2">
        <v>22</v>
      </c>
    </row>
    <row r="276" spans="1:13">
      <c r="A276" s="2">
        <v>3</v>
      </c>
      <c r="B276" s="2">
        <v>2</v>
      </c>
      <c r="C276" s="2">
        <v>418</v>
      </c>
      <c r="D276" s="2">
        <v>426</v>
      </c>
      <c r="E276" s="2">
        <v>430</v>
      </c>
    </row>
    <row r="277" spans="1:13">
      <c r="A277" s="2">
        <v>3</v>
      </c>
      <c r="B277" s="2">
        <v>1</v>
      </c>
      <c r="C277" s="2">
        <v>8</v>
      </c>
      <c r="D277" s="2">
        <v>8</v>
      </c>
      <c r="E277" s="2">
        <v>8</v>
      </c>
    </row>
    <row r="278" spans="1:13">
      <c r="A278" s="2">
        <v>3</v>
      </c>
      <c r="B278" s="2">
        <v>3</v>
      </c>
      <c r="C278" s="2">
        <v>0</v>
      </c>
      <c r="D278" s="2">
        <v>0</v>
      </c>
      <c r="E278" s="2">
        <v>0</v>
      </c>
    </row>
    <row r="279" spans="1:13">
      <c r="A279" s="2">
        <v>3</v>
      </c>
      <c r="B279" s="2">
        <v>4</v>
      </c>
      <c r="C279" s="2">
        <v>0</v>
      </c>
      <c r="D279" s="2">
        <v>0</v>
      </c>
      <c r="E279" s="2">
        <v>0</v>
      </c>
    </row>
    <row r="280" spans="1:13">
      <c r="A280" s="2">
        <v>3</v>
      </c>
      <c r="B280" s="2">
        <v>5</v>
      </c>
    </row>
    <row r="281" spans="1:13">
      <c r="A281" s="2">
        <v>3</v>
      </c>
      <c r="B281" s="2">
        <v>6</v>
      </c>
    </row>
    <row r="282" spans="1:13">
      <c r="A282" s="2">
        <v>4</v>
      </c>
      <c r="B282" s="2" t="s">
        <v>88</v>
      </c>
      <c r="C282" s="2" t="s">
        <v>66</v>
      </c>
      <c r="D282" s="2">
        <v>0</v>
      </c>
      <c r="F282" s="2">
        <v>3</v>
      </c>
      <c r="G282" s="42">
        <v>0.98611111111111116</v>
      </c>
      <c r="J282" s="42">
        <v>2.7777777777777776E-2</v>
      </c>
      <c r="M282" s="42">
        <v>6.9444444444444434E-2</v>
      </c>
    </row>
    <row r="283" spans="1:13">
      <c r="A283" s="2">
        <v>4</v>
      </c>
      <c r="B283" s="2" t="s">
        <v>87</v>
      </c>
      <c r="C283" s="2" t="s">
        <v>66</v>
      </c>
      <c r="D283" s="2">
        <v>0</v>
      </c>
      <c r="F283" s="2">
        <v>2</v>
      </c>
      <c r="G283" s="42">
        <v>0.98749999999999993</v>
      </c>
      <c r="J283" s="42">
        <v>2.9166666666666664E-2</v>
      </c>
      <c r="M283" s="42">
        <v>7.0833333333333331E-2</v>
      </c>
    </row>
    <row r="284" spans="1:13">
      <c r="A284" s="2">
        <v>4</v>
      </c>
      <c r="B284" s="2" t="s">
        <v>86</v>
      </c>
      <c r="C284" s="2" t="s">
        <v>66</v>
      </c>
      <c r="D284" s="2">
        <v>0</v>
      </c>
      <c r="F284" s="2">
        <v>2</v>
      </c>
      <c r="G284" s="42">
        <v>0.98819444444444438</v>
      </c>
      <c r="J284" s="42">
        <v>2.9861111111111113E-2</v>
      </c>
      <c r="M284" s="42">
        <v>7.1527777777777787E-2</v>
      </c>
    </row>
    <row r="285" spans="1:13">
      <c r="A285" s="2">
        <v>4</v>
      </c>
      <c r="B285" s="2" t="s">
        <v>85</v>
      </c>
      <c r="C285" s="2" t="s">
        <v>66</v>
      </c>
      <c r="D285" s="2">
        <v>0</v>
      </c>
      <c r="F285" s="2">
        <v>2</v>
      </c>
      <c r="G285" s="42">
        <v>0.98958333333333337</v>
      </c>
      <c r="J285" s="42">
        <v>3.125E-2</v>
      </c>
      <c r="M285" s="42">
        <v>7.2916666666666671E-2</v>
      </c>
    </row>
    <row r="286" spans="1:13">
      <c r="A286" s="2">
        <v>4</v>
      </c>
      <c r="B286" s="2" t="s">
        <v>84</v>
      </c>
      <c r="C286" s="2" t="s">
        <v>66</v>
      </c>
      <c r="D286" s="2">
        <v>0</v>
      </c>
      <c r="F286" s="2">
        <v>2</v>
      </c>
      <c r="G286" s="42">
        <v>0.9902777777777777</v>
      </c>
      <c r="J286" s="42">
        <v>3.1944444444444449E-2</v>
      </c>
      <c r="M286" s="42">
        <v>7.3611111111111113E-2</v>
      </c>
    </row>
    <row r="287" spans="1:13">
      <c r="A287" s="2">
        <v>4</v>
      </c>
      <c r="B287" s="2" t="s">
        <v>84</v>
      </c>
      <c r="C287" s="2" t="s">
        <v>66</v>
      </c>
      <c r="D287" s="2">
        <v>0</v>
      </c>
      <c r="F287" s="2">
        <v>4</v>
      </c>
      <c r="G287" s="42">
        <v>0.9902777777777777</v>
      </c>
      <c r="J287" s="42">
        <v>3.1944444444444449E-2</v>
      </c>
      <c r="M287" s="42">
        <v>7.3611111111111113E-2</v>
      </c>
    </row>
    <row r="288" spans="1:13">
      <c r="A288" s="2">
        <v>4</v>
      </c>
      <c r="B288" s="2" t="s">
        <v>83</v>
      </c>
      <c r="C288" s="2" t="s">
        <v>66</v>
      </c>
      <c r="D288" s="2">
        <v>0</v>
      </c>
      <c r="F288" s="2">
        <v>2</v>
      </c>
      <c r="G288" s="42">
        <v>0.99097222222222225</v>
      </c>
      <c r="J288" s="42">
        <v>3.2638888888888891E-2</v>
      </c>
      <c r="M288" s="42">
        <v>7.4305555555555555E-2</v>
      </c>
    </row>
    <row r="289" spans="1:14">
      <c r="A289" s="2">
        <v>4</v>
      </c>
      <c r="B289" s="2" t="s">
        <v>82</v>
      </c>
      <c r="C289" s="2" t="s">
        <v>66</v>
      </c>
      <c r="D289" s="2">
        <v>0</v>
      </c>
      <c r="F289" s="2">
        <v>2</v>
      </c>
      <c r="G289" s="42">
        <v>0.9916666666666667</v>
      </c>
      <c r="J289" s="42">
        <v>3.3333333333333333E-2</v>
      </c>
      <c r="M289" s="42">
        <v>7.4999999999999997E-2</v>
      </c>
    </row>
    <row r="290" spans="1:14">
      <c r="A290" s="2">
        <v>4</v>
      </c>
      <c r="B290" s="2" t="s">
        <v>81</v>
      </c>
      <c r="C290" s="2" t="s">
        <v>66</v>
      </c>
      <c r="D290" s="2">
        <v>0</v>
      </c>
      <c r="F290" s="2">
        <v>2</v>
      </c>
      <c r="G290" s="42">
        <v>0.99236111111111114</v>
      </c>
      <c r="J290" s="42">
        <v>3.4027777777777775E-2</v>
      </c>
      <c r="M290" s="42">
        <v>7.5694444444444439E-2</v>
      </c>
    </row>
    <row r="291" spans="1:14">
      <c r="A291" s="2">
        <v>4</v>
      </c>
      <c r="B291" s="2" t="s">
        <v>80</v>
      </c>
      <c r="C291" s="2" t="s">
        <v>66</v>
      </c>
      <c r="D291" s="2">
        <v>0</v>
      </c>
      <c r="F291" s="2">
        <v>2</v>
      </c>
      <c r="G291" s="42">
        <v>0.99305555555555547</v>
      </c>
      <c r="J291" s="42">
        <v>3.4722222222222224E-2</v>
      </c>
      <c r="M291" s="42">
        <v>7.6388888888888895E-2</v>
      </c>
    </row>
    <row r="292" spans="1:14">
      <c r="A292" s="2">
        <v>4</v>
      </c>
      <c r="B292" s="2" t="s">
        <v>79</v>
      </c>
      <c r="C292" s="2" t="s">
        <v>66</v>
      </c>
      <c r="D292" s="2">
        <v>0</v>
      </c>
      <c r="F292" s="2">
        <v>2</v>
      </c>
      <c r="G292" s="42">
        <v>0.99305555555555547</v>
      </c>
      <c r="J292" s="42">
        <v>3.4722222222222224E-2</v>
      </c>
      <c r="M292" s="42">
        <v>7.6388888888888895E-2</v>
      </c>
    </row>
    <row r="293" spans="1:14">
      <c r="A293" s="2">
        <v>4</v>
      </c>
      <c r="B293" s="2" t="s">
        <v>78</v>
      </c>
      <c r="C293" s="2" t="s">
        <v>66</v>
      </c>
      <c r="D293" s="2">
        <v>0</v>
      </c>
      <c r="F293" s="2">
        <v>2</v>
      </c>
      <c r="G293" s="42">
        <v>0.99375000000000002</v>
      </c>
      <c r="J293" s="42">
        <v>3.5416666666666666E-2</v>
      </c>
      <c r="M293" s="42">
        <v>7.7083333333333337E-2</v>
      </c>
    </row>
    <row r="294" spans="1:14">
      <c r="A294" s="2">
        <v>4</v>
      </c>
      <c r="B294" s="2" t="s">
        <v>77</v>
      </c>
      <c r="C294" s="2" t="s">
        <v>66</v>
      </c>
      <c r="D294" s="2">
        <v>0</v>
      </c>
      <c r="F294" s="2">
        <v>2</v>
      </c>
      <c r="G294" s="42">
        <v>0.99444444444444446</v>
      </c>
      <c r="J294" s="42">
        <v>3.6111111111111115E-2</v>
      </c>
      <c r="M294" s="42">
        <v>7.7777777777777779E-2</v>
      </c>
    </row>
    <row r="295" spans="1:14">
      <c r="A295" s="2">
        <v>4</v>
      </c>
      <c r="B295" s="2" t="s">
        <v>76</v>
      </c>
      <c r="C295" s="2" t="s">
        <v>66</v>
      </c>
      <c r="D295" s="2">
        <v>0</v>
      </c>
      <c r="F295" s="2">
        <v>2</v>
      </c>
      <c r="G295" s="42">
        <v>0.99513888888888891</v>
      </c>
      <c r="J295" s="42">
        <v>3.6805555555555557E-2</v>
      </c>
      <c r="M295" s="42">
        <v>7.8472222222222221E-2</v>
      </c>
    </row>
    <row r="296" spans="1:14">
      <c r="A296" s="2">
        <v>4</v>
      </c>
      <c r="B296" s="2" t="s">
        <v>74</v>
      </c>
      <c r="C296" s="2" t="s">
        <v>66</v>
      </c>
      <c r="D296" s="2">
        <v>0</v>
      </c>
      <c r="F296" s="2">
        <v>2</v>
      </c>
      <c r="G296" s="42">
        <v>0.99722222222222223</v>
      </c>
      <c r="J296" s="42">
        <v>3.888888888888889E-2</v>
      </c>
      <c r="M296" s="42">
        <v>8.0555555555555561E-2</v>
      </c>
    </row>
    <row r="297" spans="1:14">
      <c r="A297" s="2">
        <v>4</v>
      </c>
      <c r="B297" s="2" t="s">
        <v>75</v>
      </c>
      <c r="C297" s="2" t="s">
        <v>66</v>
      </c>
      <c r="D297" s="2">
        <v>0</v>
      </c>
      <c r="F297" s="2">
        <v>1</v>
      </c>
      <c r="G297" s="42">
        <v>0.99861111111111101</v>
      </c>
      <c r="J297" s="42">
        <v>4.027777777777778E-2</v>
      </c>
      <c r="M297" s="42">
        <v>8.1944444444444445E-2</v>
      </c>
    </row>
    <row r="298" spans="1:14">
      <c r="A298" s="2">
        <v>9</v>
      </c>
      <c r="B298" s="2" t="s">
        <v>110</v>
      </c>
      <c r="C298" s="43">
        <v>1.0958333333333334</v>
      </c>
      <c r="D298" s="2" t="s">
        <v>75</v>
      </c>
      <c r="E298" s="43">
        <v>1.0819444444444444</v>
      </c>
      <c r="F298" s="2">
        <v>114</v>
      </c>
    </row>
    <row r="299" spans="1:14">
      <c r="A299" s="2">
        <v>6</v>
      </c>
      <c r="B299" s="42">
        <v>0.7055555555555556</v>
      </c>
      <c r="C299" s="2">
        <v>0</v>
      </c>
      <c r="D299" s="2" t="s">
        <v>110</v>
      </c>
      <c r="E299" s="2" t="s">
        <v>111</v>
      </c>
    </row>
    <row r="300" spans="1:14">
      <c r="A300" s="2">
        <v>99</v>
      </c>
    </row>
    <row r="301" spans="1:14">
      <c r="A301" s="2">
        <v>1</v>
      </c>
      <c r="B301" s="2">
        <v>1</v>
      </c>
      <c r="C301" s="2">
        <v>37</v>
      </c>
      <c r="D301" s="2" t="s">
        <v>59</v>
      </c>
      <c r="E301" s="2" t="s">
        <v>60</v>
      </c>
      <c r="F301" s="2" t="s">
        <v>61</v>
      </c>
      <c r="G301" s="2" t="s">
        <v>62</v>
      </c>
      <c r="H301" s="2" t="s">
        <v>63</v>
      </c>
      <c r="I301" s="42">
        <v>0.33333333333333331</v>
      </c>
      <c r="J301" s="42">
        <v>0.71250000000000002</v>
      </c>
      <c r="K301" s="2" t="s">
        <v>60</v>
      </c>
      <c r="L301" s="2" t="s">
        <v>61</v>
      </c>
      <c r="M301" s="2" t="s">
        <v>60</v>
      </c>
      <c r="N301" s="2" t="s">
        <v>61</v>
      </c>
    </row>
    <row r="302" spans="1:14">
      <c r="A302" s="2">
        <v>8</v>
      </c>
      <c r="B302" s="2" t="s">
        <v>61</v>
      </c>
      <c r="C302" s="42">
        <v>0.33333333333333331</v>
      </c>
      <c r="D302" s="2" t="s">
        <v>107</v>
      </c>
      <c r="E302" s="42">
        <v>0.34375</v>
      </c>
      <c r="F302" s="2">
        <v>101</v>
      </c>
    </row>
    <row r="303" spans="1:14">
      <c r="A303" s="2">
        <v>2</v>
      </c>
      <c r="B303" s="2" t="s">
        <v>111</v>
      </c>
      <c r="C303" s="2">
        <v>2</v>
      </c>
      <c r="D303" s="2" t="s">
        <v>47</v>
      </c>
      <c r="E303" s="2">
        <v>55</v>
      </c>
      <c r="F303" s="2">
        <v>14</v>
      </c>
      <c r="G303" s="2">
        <v>3</v>
      </c>
      <c r="H303" s="2">
        <v>751</v>
      </c>
    </row>
    <row r="304" spans="1:14">
      <c r="A304" s="2">
        <v>3</v>
      </c>
      <c r="B304" s="2">
        <v>2</v>
      </c>
      <c r="C304" s="2">
        <v>50</v>
      </c>
      <c r="D304" s="2">
        <v>58</v>
      </c>
      <c r="E304" s="2">
        <v>61</v>
      </c>
      <c r="F304" s="2">
        <v>72</v>
      </c>
      <c r="G304" s="2">
        <v>75</v>
      </c>
      <c r="H304" s="2">
        <v>91</v>
      </c>
      <c r="I304" s="2">
        <v>97</v>
      </c>
      <c r="J304" s="2">
        <v>115</v>
      </c>
      <c r="K304" s="2">
        <v>123</v>
      </c>
    </row>
    <row r="305" spans="1:31">
      <c r="A305" s="2">
        <v>3</v>
      </c>
      <c r="B305" s="2">
        <v>1</v>
      </c>
      <c r="C305" s="2">
        <v>1</v>
      </c>
      <c r="D305" s="2">
        <v>3</v>
      </c>
      <c r="E305" s="2">
        <v>1</v>
      </c>
      <c r="F305" s="2">
        <v>3</v>
      </c>
      <c r="G305" s="2">
        <v>1</v>
      </c>
      <c r="H305" s="2">
        <v>3</v>
      </c>
      <c r="I305" s="2">
        <v>1</v>
      </c>
      <c r="J305" s="2">
        <v>3</v>
      </c>
      <c r="K305" s="2">
        <v>1</v>
      </c>
    </row>
    <row r="306" spans="1:31">
      <c r="A306" s="2">
        <v>3</v>
      </c>
      <c r="B306" s="2">
        <v>3</v>
      </c>
      <c r="C306" s="2">
        <v>0</v>
      </c>
      <c r="D306" s="2">
        <v>0</v>
      </c>
      <c r="E306" s="2">
        <v>0</v>
      </c>
      <c r="F306" s="2">
        <v>0</v>
      </c>
      <c r="G306" s="2">
        <v>0</v>
      </c>
      <c r="H306" s="2">
        <v>0</v>
      </c>
      <c r="I306" s="2">
        <v>0</v>
      </c>
      <c r="J306" s="2">
        <v>0</v>
      </c>
      <c r="K306" s="2">
        <v>0</v>
      </c>
    </row>
    <row r="307" spans="1:31">
      <c r="A307" s="2">
        <v>3</v>
      </c>
      <c r="B307" s="2">
        <v>4</v>
      </c>
      <c r="C307" s="2">
        <v>0</v>
      </c>
      <c r="D307" s="2">
        <v>0</v>
      </c>
      <c r="E307" s="2">
        <v>0</v>
      </c>
      <c r="F307" s="2">
        <v>0</v>
      </c>
      <c r="G307" s="2">
        <v>0</v>
      </c>
      <c r="H307" s="2">
        <v>0</v>
      </c>
      <c r="I307" s="2">
        <v>0</v>
      </c>
      <c r="J307" s="2">
        <v>0</v>
      </c>
      <c r="K307" s="2">
        <v>0</v>
      </c>
    </row>
    <row r="308" spans="1:31">
      <c r="A308" s="2">
        <v>3</v>
      </c>
      <c r="B308" s="2">
        <v>5</v>
      </c>
    </row>
    <row r="309" spans="1:31">
      <c r="A309" s="2">
        <v>3</v>
      </c>
      <c r="B309" s="2">
        <v>6</v>
      </c>
    </row>
    <row r="310" spans="1:31">
      <c r="A310" s="2">
        <v>4</v>
      </c>
      <c r="B310" s="2" t="s">
        <v>107</v>
      </c>
      <c r="C310" s="2" t="s">
        <v>66</v>
      </c>
      <c r="D310" s="2">
        <v>0</v>
      </c>
      <c r="F310" s="2">
        <v>1</v>
      </c>
      <c r="G310" s="42">
        <v>0.34375</v>
      </c>
      <c r="J310" s="42">
        <v>0.40625</v>
      </c>
      <c r="M310" s="42">
        <v>0.42708333333333331</v>
      </c>
      <c r="P310" s="42">
        <v>0.48958333333333331</v>
      </c>
      <c r="S310" s="42">
        <v>0.51041666666666663</v>
      </c>
      <c r="V310" s="42">
        <v>0.57291666666666663</v>
      </c>
      <c r="Y310" s="42">
        <v>0.59375</v>
      </c>
      <c r="AB310" s="42">
        <v>0.65625</v>
      </c>
      <c r="AE310" s="42">
        <v>0.67708333333333337</v>
      </c>
    </row>
    <row r="311" spans="1:31">
      <c r="A311" s="2">
        <v>4</v>
      </c>
      <c r="B311" s="2" t="s">
        <v>106</v>
      </c>
      <c r="C311" s="2" t="s">
        <v>66</v>
      </c>
      <c r="D311" s="2">
        <v>0</v>
      </c>
      <c r="F311" s="2">
        <v>1</v>
      </c>
      <c r="G311" s="42">
        <v>0.34513888888888888</v>
      </c>
      <c r="J311" s="42">
        <v>0.40763888888888888</v>
      </c>
      <c r="M311" s="42">
        <v>0.4284722222222222</v>
      </c>
      <c r="P311" s="42">
        <v>0.4909722222222222</v>
      </c>
      <c r="S311" s="42">
        <v>0.51180555555555551</v>
      </c>
      <c r="V311" s="42">
        <v>0.57430555555555551</v>
      </c>
      <c r="Y311" s="42">
        <v>0.59513888888888888</v>
      </c>
      <c r="AB311" s="42">
        <v>0.65763888888888888</v>
      </c>
      <c r="AE311" s="42">
        <v>0.67847222222222225</v>
      </c>
    </row>
    <row r="312" spans="1:31">
      <c r="A312" s="2">
        <v>4</v>
      </c>
      <c r="B312" s="2" t="s">
        <v>105</v>
      </c>
      <c r="C312" s="2" t="s">
        <v>66</v>
      </c>
      <c r="D312" s="2">
        <v>0</v>
      </c>
      <c r="F312" s="2">
        <v>1</v>
      </c>
      <c r="G312" s="42">
        <v>0.34722222222222227</v>
      </c>
      <c r="J312" s="42">
        <v>0.40972222222222227</v>
      </c>
      <c r="M312" s="42">
        <v>0.43055555555555558</v>
      </c>
      <c r="P312" s="42">
        <v>0.49305555555555558</v>
      </c>
      <c r="S312" s="42">
        <v>0.51388888888888895</v>
      </c>
      <c r="V312" s="42">
        <v>0.57638888888888895</v>
      </c>
      <c r="Y312" s="42">
        <v>0.59722222222222221</v>
      </c>
      <c r="AB312" s="42">
        <v>0.65972222222222221</v>
      </c>
      <c r="AE312" s="42">
        <v>0.68055555555555547</v>
      </c>
    </row>
    <row r="313" spans="1:31">
      <c r="A313" s="2">
        <v>4</v>
      </c>
      <c r="B313" s="2" t="s">
        <v>104</v>
      </c>
      <c r="C313" s="2" t="s">
        <v>66</v>
      </c>
      <c r="D313" s="2">
        <v>0</v>
      </c>
      <c r="F313" s="2">
        <v>1</v>
      </c>
      <c r="G313" s="42">
        <v>0.34791666666666665</v>
      </c>
      <c r="J313" s="42">
        <v>0.41041666666666665</v>
      </c>
      <c r="M313" s="42">
        <v>0.43124999999999997</v>
      </c>
      <c r="P313" s="42">
        <v>0.49374999999999997</v>
      </c>
      <c r="S313" s="42">
        <v>0.51458333333333328</v>
      </c>
      <c r="V313" s="42">
        <v>0.57708333333333328</v>
      </c>
      <c r="Y313" s="42">
        <v>0.59791666666666665</v>
      </c>
      <c r="AB313" s="42">
        <v>0.66041666666666665</v>
      </c>
      <c r="AE313" s="42">
        <v>0.68125000000000002</v>
      </c>
    </row>
    <row r="314" spans="1:31">
      <c r="A314" s="2">
        <v>4</v>
      </c>
      <c r="B314" s="2" t="s">
        <v>103</v>
      </c>
      <c r="C314" s="2" t="s">
        <v>66</v>
      </c>
      <c r="D314" s="2">
        <v>0</v>
      </c>
      <c r="F314" s="2">
        <v>1</v>
      </c>
      <c r="G314" s="42">
        <v>0.34861111111111115</v>
      </c>
      <c r="J314" s="42">
        <v>0.41111111111111115</v>
      </c>
      <c r="M314" s="42">
        <v>0.43194444444444446</v>
      </c>
      <c r="P314" s="42">
        <v>0.49444444444444446</v>
      </c>
      <c r="S314" s="42">
        <v>0.51527777777777783</v>
      </c>
      <c r="V314" s="42">
        <v>0.57777777777777783</v>
      </c>
      <c r="Y314" s="42">
        <v>0.59861111111111109</v>
      </c>
      <c r="AB314" s="42">
        <v>0.66111111111111109</v>
      </c>
      <c r="AE314" s="42">
        <v>0.68194444444444446</v>
      </c>
    </row>
    <row r="315" spans="1:31">
      <c r="A315" s="2">
        <v>4</v>
      </c>
      <c r="B315" s="2" t="s">
        <v>112</v>
      </c>
      <c r="C315" s="2" t="s">
        <v>66</v>
      </c>
      <c r="D315" s="2">
        <v>0</v>
      </c>
      <c r="F315" s="2">
        <v>1</v>
      </c>
      <c r="G315" s="42">
        <v>0.35069444444444442</v>
      </c>
      <c r="J315" s="42">
        <v>0.41319444444444442</v>
      </c>
      <c r="M315" s="42">
        <v>0.43402777777777773</v>
      </c>
      <c r="P315" s="42">
        <v>0.49652777777777773</v>
      </c>
      <c r="S315" s="42">
        <v>0.51736111111111105</v>
      </c>
      <c r="V315" s="42">
        <v>0.57986111111111105</v>
      </c>
      <c r="Y315" s="42">
        <v>0.60069444444444442</v>
      </c>
      <c r="AB315" s="42">
        <v>0.66319444444444442</v>
      </c>
      <c r="AE315" s="42">
        <v>0.68402777777777779</v>
      </c>
    </row>
    <row r="316" spans="1:31">
      <c r="A316" s="2">
        <v>4</v>
      </c>
      <c r="B316" s="2" t="s">
        <v>102</v>
      </c>
      <c r="C316" s="2" t="s">
        <v>66</v>
      </c>
      <c r="D316" s="2">
        <v>0</v>
      </c>
      <c r="F316" s="2">
        <v>4</v>
      </c>
      <c r="G316" s="42">
        <v>0.35486111111111113</v>
      </c>
      <c r="J316" s="2" t="s">
        <v>90</v>
      </c>
      <c r="M316" s="42">
        <v>0.4381944444444445</v>
      </c>
      <c r="P316" s="2" t="s">
        <v>90</v>
      </c>
      <c r="S316" s="42">
        <v>0.52152777777777781</v>
      </c>
      <c r="V316" s="2" t="s">
        <v>90</v>
      </c>
      <c r="Y316" s="42">
        <v>0.60486111111111118</v>
      </c>
      <c r="AB316" s="2" t="s">
        <v>90</v>
      </c>
      <c r="AE316" s="42">
        <v>0.68819444444444444</v>
      </c>
    </row>
    <row r="317" spans="1:31">
      <c r="A317" s="2">
        <v>4</v>
      </c>
      <c r="B317" s="2" t="s">
        <v>102</v>
      </c>
      <c r="C317" s="2" t="s">
        <v>66</v>
      </c>
      <c r="D317" s="2">
        <v>0</v>
      </c>
      <c r="F317" s="2">
        <v>5</v>
      </c>
      <c r="G317" s="2" t="s">
        <v>90</v>
      </c>
      <c r="J317" s="42">
        <v>0.41597222222222219</v>
      </c>
      <c r="M317" s="2" t="s">
        <v>90</v>
      </c>
      <c r="P317" s="42">
        <v>0.4993055555555555</v>
      </c>
      <c r="S317" s="2" t="s">
        <v>90</v>
      </c>
      <c r="V317" s="42">
        <v>0.58263888888888882</v>
      </c>
      <c r="Y317" s="2" t="s">
        <v>90</v>
      </c>
      <c r="AB317" s="42">
        <v>0.66597222222222219</v>
      </c>
      <c r="AE317" s="2" t="s">
        <v>90</v>
      </c>
    </row>
    <row r="318" spans="1:31">
      <c r="A318" s="2">
        <v>4</v>
      </c>
      <c r="B318" s="2" t="s">
        <v>101</v>
      </c>
      <c r="C318" s="2" t="s">
        <v>66</v>
      </c>
      <c r="D318" s="2">
        <v>0</v>
      </c>
      <c r="F318" s="2">
        <v>1</v>
      </c>
      <c r="G318" s="42">
        <v>0.35625000000000001</v>
      </c>
      <c r="J318" s="2" t="s">
        <v>90</v>
      </c>
      <c r="M318" s="42">
        <v>0.43958333333333338</v>
      </c>
      <c r="P318" s="2" t="s">
        <v>90</v>
      </c>
      <c r="S318" s="42">
        <v>0.5229166666666667</v>
      </c>
      <c r="V318" s="2" t="s">
        <v>90</v>
      </c>
      <c r="Y318" s="42">
        <v>0.60625000000000007</v>
      </c>
      <c r="AB318" s="2" t="s">
        <v>90</v>
      </c>
      <c r="AE318" s="42">
        <v>0.68958333333333333</v>
      </c>
    </row>
    <row r="319" spans="1:31">
      <c r="A319" s="2">
        <v>4</v>
      </c>
      <c r="B319" s="2" t="s">
        <v>100</v>
      </c>
      <c r="C319" s="2" t="s">
        <v>66</v>
      </c>
      <c r="D319" s="2">
        <v>0</v>
      </c>
      <c r="F319" s="2">
        <v>2</v>
      </c>
      <c r="G319" s="42">
        <v>0.35694444444444445</v>
      </c>
      <c r="J319" s="2" t="s">
        <v>90</v>
      </c>
      <c r="M319" s="42">
        <v>0.44027777777777777</v>
      </c>
      <c r="P319" s="2" t="s">
        <v>90</v>
      </c>
      <c r="S319" s="42">
        <v>0.52361111111111114</v>
      </c>
      <c r="V319" s="2" t="s">
        <v>90</v>
      </c>
      <c r="Y319" s="42">
        <v>0.6069444444444444</v>
      </c>
      <c r="AB319" s="2" t="s">
        <v>90</v>
      </c>
      <c r="AE319" s="42">
        <v>0.69027777777777777</v>
      </c>
    </row>
    <row r="320" spans="1:31">
      <c r="A320" s="2">
        <v>4</v>
      </c>
      <c r="B320" s="2" t="s">
        <v>98</v>
      </c>
      <c r="C320" s="2" t="s">
        <v>66</v>
      </c>
      <c r="D320" s="2">
        <v>2</v>
      </c>
      <c r="E320" s="2" t="s">
        <v>99</v>
      </c>
      <c r="F320" s="2">
        <v>4</v>
      </c>
      <c r="G320" s="42">
        <v>0.3576388888888889</v>
      </c>
      <c r="J320" s="2" t="s">
        <v>90</v>
      </c>
      <c r="M320" s="42">
        <v>0.44097222222222227</v>
      </c>
      <c r="P320" s="2" t="s">
        <v>90</v>
      </c>
      <c r="S320" s="42">
        <v>0.52430555555555558</v>
      </c>
      <c r="V320" s="2" t="s">
        <v>90</v>
      </c>
      <c r="Y320" s="42">
        <v>0.60763888888888895</v>
      </c>
      <c r="AB320" s="2" t="s">
        <v>90</v>
      </c>
      <c r="AE320" s="42">
        <v>0.69097222222222221</v>
      </c>
    </row>
    <row r="321" spans="1:31">
      <c r="A321" s="2">
        <v>4</v>
      </c>
      <c r="B321" s="2" t="s">
        <v>97</v>
      </c>
      <c r="C321" s="2" t="s">
        <v>66</v>
      </c>
      <c r="D321" s="2">
        <v>0</v>
      </c>
      <c r="F321" s="2">
        <v>1</v>
      </c>
      <c r="G321" s="42">
        <v>0.35833333333333334</v>
      </c>
      <c r="J321" s="2" t="s">
        <v>90</v>
      </c>
      <c r="M321" s="42">
        <v>0.44166666666666665</v>
      </c>
      <c r="P321" s="2" t="s">
        <v>90</v>
      </c>
      <c r="S321" s="42">
        <v>0.52500000000000002</v>
      </c>
      <c r="V321" s="2" t="s">
        <v>90</v>
      </c>
      <c r="Y321" s="42">
        <v>0.60833333333333328</v>
      </c>
      <c r="AB321" s="2" t="s">
        <v>90</v>
      </c>
      <c r="AE321" s="42">
        <v>0.69166666666666676</v>
      </c>
    </row>
    <row r="322" spans="1:31">
      <c r="A322" s="2">
        <v>4</v>
      </c>
      <c r="B322" s="2" t="s">
        <v>96</v>
      </c>
      <c r="C322" s="2" t="s">
        <v>66</v>
      </c>
      <c r="D322" s="2">
        <v>0</v>
      </c>
      <c r="F322" s="2">
        <v>1</v>
      </c>
      <c r="G322" s="42">
        <v>0.35902777777777778</v>
      </c>
      <c r="J322" s="2" t="s">
        <v>90</v>
      </c>
      <c r="M322" s="42">
        <v>0.44236111111111115</v>
      </c>
      <c r="P322" s="2" t="s">
        <v>90</v>
      </c>
      <c r="S322" s="42">
        <v>0.52569444444444446</v>
      </c>
      <c r="V322" s="2" t="s">
        <v>90</v>
      </c>
      <c r="Y322" s="42">
        <v>0.60902777777777783</v>
      </c>
      <c r="AB322" s="2" t="s">
        <v>90</v>
      </c>
      <c r="AE322" s="42">
        <v>0.69236111111111109</v>
      </c>
    </row>
    <row r="323" spans="1:31">
      <c r="A323" s="2">
        <v>4</v>
      </c>
      <c r="B323" s="2" t="s">
        <v>95</v>
      </c>
      <c r="C323" s="2" t="s">
        <v>66</v>
      </c>
      <c r="D323" s="2">
        <v>0</v>
      </c>
      <c r="F323" s="2">
        <v>1</v>
      </c>
      <c r="G323" s="42">
        <v>0.35972222222222222</v>
      </c>
      <c r="J323" s="2" t="s">
        <v>90</v>
      </c>
      <c r="M323" s="42">
        <v>0.44305555555555554</v>
      </c>
      <c r="P323" s="2" t="s">
        <v>90</v>
      </c>
      <c r="S323" s="42">
        <v>0.52638888888888891</v>
      </c>
      <c r="V323" s="2" t="s">
        <v>90</v>
      </c>
      <c r="Y323" s="42">
        <v>0.60972222222222217</v>
      </c>
      <c r="AB323" s="2" t="s">
        <v>90</v>
      </c>
      <c r="AE323" s="42">
        <v>0.69305555555555554</v>
      </c>
    </row>
    <row r="324" spans="1:31">
      <c r="A324" s="2">
        <v>4</v>
      </c>
      <c r="B324" s="2" t="s">
        <v>67</v>
      </c>
      <c r="C324" s="2" t="s">
        <v>66</v>
      </c>
      <c r="D324" s="2">
        <v>0</v>
      </c>
      <c r="F324" s="2">
        <v>1</v>
      </c>
      <c r="G324" s="42">
        <v>0.35972222222222222</v>
      </c>
      <c r="J324" s="2" t="s">
        <v>90</v>
      </c>
      <c r="M324" s="42">
        <v>0.44305555555555554</v>
      </c>
      <c r="P324" s="2" t="s">
        <v>90</v>
      </c>
      <c r="S324" s="42">
        <v>0.52638888888888891</v>
      </c>
      <c r="V324" s="2" t="s">
        <v>90</v>
      </c>
      <c r="Y324" s="42">
        <v>0.60972222222222217</v>
      </c>
      <c r="AB324" s="2" t="s">
        <v>90</v>
      </c>
      <c r="AE324" s="42">
        <v>0.69305555555555554</v>
      </c>
    </row>
    <row r="325" spans="1:31">
      <c r="A325" s="2">
        <v>4</v>
      </c>
      <c r="B325" s="2" t="s">
        <v>91</v>
      </c>
      <c r="C325" s="2" t="s">
        <v>66</v>
      </c>
      <c r="D325" s="2">
        <v>0</v>
      </c>
      <c r="F325" s="2">
        <v>1</v>
      </c>
      <c r="G325" s="42">
        <v>0.36041666666666666</v>
      </c>
      <c r="J325" s="2" t="s">
        <v>90</v>
      </c>
      <c r="M325" s="42">
        <v>0.44375000000000003</v>
      </c>
      <c r="P325" s="2" t="s">
        <v>90</v>
      </c>
      <c r="S325" s="42">
        <v>0.52708333333333335</v>
      </c>
      <c r="V325" s="2" t="s">
        <v>90</v>
      </c>
      <c r="Y325" s="42">
        <v>0.61041666666666672</v>
      </c>
      <c r="AB325" s="2" t="s">
        <v>90</v>
      </c>
      <c r="AE325" s="42">
        <v>0.69374999999999998</v>
      </c>
    </row>
    <row r="326" spans="1:31">
      <c r="A326" s="2">
        <v>4</v>
      </c>
      <c r="B326" s="2" t="s">
        <v>64</v>
      </c>
      <c r="C326" s="2" t="s">
        <v>89</v>
      </c>
      <c r="D326" s="2">
        <v>0</v>
      </c>
      <c r="F326" s="2">
        <v>1</v>
      </c>
      <c r="G326" s="42">
        <v>0.36180555555555555</v>
      </c>
      <c r="J326" s="2" t="s">
        <v>90</v>
      </c>
      <c r="M326" s="42">
        <v>0.44513888888888892</v>
      </c>
      <c r="P326" s="2" t="s">
        <v>90</v>
      </c>
      <c r="S326" s="42">
        <v>0.52847222222222223</v>
      </c>
      <c r="V326" s="2" t="s">
        <v>90</v>
      </c>
      <c r="Y326" s="42">
        <v>0.6118055555555556</v>
      </c>
      <c r="AB326" s="2" t="s">
        <v>90</v>
      </c>
      <c r="AE326" s="42">
        <v>0.69513888888888886</v>
      </c>
    </row>
    <row r="327" spans="1:31">
      <c r="A327" s="2">
        <v>5</v>
      </c>
      <c r="B327" s="2" t="s">
        <v>27</v>
      </c>
      <c r="C327" s="2" t="s">
        <v>111</v>
      </c>
      <c r="D327" s="2" t="s">
        <v>47</v>
      </c>
      <c r="E327" s="2">
        <v>2</v>
      </c>
    </row>
    <row r="328" spans="1:31">
      <c r="A328" s="2">
        <v>3</v>
      </c>
      <c r="B328" s="2">
        <v>2</v>
      </c>
      <c r="C328" s="2">
        <v>209</v>
      </c>
      <c r="D328" s="2">
        <v>212</v>
      </c>
      <c r="E328" s="2">
        <v>223</v>
      </c>
      <c r="F328" s="2">
        <v>226</v>
      </c>
      <c r="G328" s="2">
        <v>240</v>
      </c>
      <c r="H328" s="2">
        <v>249</v>
      </c>
      <c r="I328" s="2">
        <v>268</v>
      </c>
      <c r="J328" s="2">
        <v>278</v>
      </c>
    </row>
    <row r="329" spans="1:31">
      <c r="A329" s="2">
        <v>3</v>
      </c>
      <c r="B329" s="2">
        <v>1</v>
      </c>
      <c r="C329" s="2">
        <v>2</v>
      </c>
      <c r="D329" s="2">
        <v>4</v>
      </c>
      <c r="E329" s="2">
        <v>2</v>
      </c>
      <c r="F329" s="2">
        <v>4</v>
      </c>
      <c r="G329" s="2">
        <v>2</v>
      </c>
      <c r="H329" s="2">
        <v>4</v>
      </c>
      <c r="I329" s="2">
        <v>2</v>
      </c>
      <c r="J329" s="2">
        <v>4</v>
      </c>
    </row>
    <row r="330" spans="1:31">
      <c r="A330" s="2">
        <v>3</v>
      </c>
      <c r="B330" s="2">
        <v>3</v>
      </c>
      <c r="C330" s="2">
        <v>0</v>
      </c>
      <c r="D330" s="2">
        <v>0</v>
      </c>
      <c r="E330" s="2">
        <v>0</v>
      </c>
      <c r="F330" s="2">
        <v>0</v>
      </c>
      <c r="G330" s="2">
        <v>0</v>
      </c>
      <c r="H330" s="2">
        <v>0</v>
      </c>
      <c r="I330" s="2">
        <v>0</v>
      </c>
      <c r="J330" s="2">
        <v>0</v>
      </c>
    </row>
    <row r="331" spans="1:31">
      <c r="A331" s="2">
        <v>3</v>
      </c>
      <c r="B331" s="2">
        <v>4</v>
      </c>
      <c r="C331" s="2">
        <v>0</v>
      </c>
      <c r="D331" s="2">
        <v>0</v>
      </c>
      <c r="E331" s="2">
        <v>0</v>
      </c>
      <c r="F331" s="2">
        <v>0</v>
      </c>
      <c r="G331" s="2">
        <v>0</v>
      </c>
      <c r="H331" s="2">
        <v>0</v>
      </c>
      <c r="I331" s="2">
        <v>0</v>
      </c>
      <c r="J331" s="2">
        <v>0</v>
      </c>
    </row>
    <row r="332" spans="1:31">
      <c r="A332" s="2">
        <v>3</v>
      </c>
      <c r="B332" s="2">
        <v>5</v>
      </c>
    </row>
    <row r="333" spans="1:31">
      <c r="A333" s="2">
        <v>3</v>
      </c>
      <c r="B333" s="2">
        <v>6</v>
      </c>
    </row>
    <row r="334" spans="1:31">
      <c r="A334" s="2">
        <v>4</v>
      </c>
      <c r="B334" s="2" t="s">
        <v>64</v>
      </c>
      <c r="C334" s="2" t="s">
        <v>66</v>
      </c>
      <c r="D334" s="2">
        <v>0</v>
      </c>
      <c r="F334" s="2">
        <v>1</v>
      </c>
      <c r="G334" s="42">
        <v>0.38958333333333334</v>
      </c>
      <c r="J334" s="2" t="s">
        <v>90</v>
      </c>
      <c r="M334" s="42">
        <v>0.46597222222222223</v>
      </c>
      <c r="P334" s="2" t="s">
        <v>90</v>
      </c>
      <c r="S334" s="42">
        <v>0.5493055555555556</v>
      </c>
      <c r="V334" s="2" t="s">
        <v>90</v>
      </c>
      <c r="Y334" s="42">
        <v>0.63263888888888886</v>
      </c>
      <c r="AB334" s="2" t="s">
        <v>90</v>
      </c>
      <c r="AE334" s="2" t="s">
        <v>90</v>
      </c>
    </row>
    <row r="335" spans="1:31">
      <c r="A335" s="2">
        <v>4</v>
      </c>
      <c r="B335" s="2" t="s">
        <v>95</v>
      </c>
      <c r="C335" s="2" t="s">
        <v>66</v>
      </c>
      <c r="D335" s="2">
        <v>0</v>
      </c>
      <c r="F335" s="2">
        <v>2</v>
      </c>
      <c r="G335" s="42">
        <v>0.39097222222222222</v>
      </c>
      <c r="J335" s="2" t="s">
        <v>90</v>
      </c>
      <c r="M335" s="42">
        <v>0.46736111111111112</v>
      </c>
      <c r="P335" s="2" t="s">
        <v>90</v>
      </c>
      <c r="S335" s="42">
        <v>0.55069444444444449</v>
      </c>
      <c r="V335" s="2" t="s">
        <v>90</v>
      </c>
      <c r="Y335" s="42">
        <v>0.63402777777777775</v>
      </c>
      <c r="AB335" s="2" t="s">
        <v>90</v>
      </c>
      <c r="AE335" s="2" t="s">
        <v>90</v>
      </c>
    </row>
    <row r="336" spans="1:31">
      <c r="A336" s="2">
        <v>4</v>
      </c>
      <c r="B336" s="2" t="s">
        <v>96</v>
      </c>
      <c r="C336" s="2" t="s">
        <v>66</v>
      </c>
      <c r="D336" s="2">
        <v>0</v>
      </c>
      <c r="F336" s="2">
        <v>2</v>
      </c>
      <c r="G336" s="42">
        <v>0.39166666666666666</v>
      </c>
      <c r="J336" s="2" t="s">
        <v>90</v>
      </c>
      <c r="M336" s="42">
        <v>0.4680555555555555</v>
      </c>
      <c r="P336" s="2" t="s">
        <v>90</v>
      </c>
      <c r="S336" s="42">
        <v>0.55138888888888882</v>
      </c>
      <c r="V336" s="2" t="s">
        <v>90</v>
      </c>
      <c r="Y336" s="42">
        <v>0.63472222222222219</v>
      </c>
      <c r="AB336" s="2" t="s">
        <v>90</v>
      </c>
      <c r="AE336" s="2" t="s">
        <v>90</v>
      </c>
    </row>
    <row r="337" spans="1:31">
      <c r="A337" s="2">
        <v>4</v>
      </c>
      <c r="B337" s="2" t="s">
        <v>97</v>
      </c>
      <c r="C337" s="2" t="s">
        <v>66</v>
      </c>
      <c r="D337" s="2">
        <v>0</v>
      </c>
      <c r="F337" s="2">
        <v>2</v>
      </c>
      <c r="G337" s="42">
        <v>0.3923611111111111</v>
      </c>
      <c r="J337" s="2" t="s">
        <v>90</v>
      </c>
      <c r="M337" s="42">
        <v>0.46875</v>
      </c>
      <c r="P337" s="2" t="s">
        <v>90</v>
      </c>
      <c r="S337" s="42">
        <v>0.55208333333333337</v>
      </c>
      <c r="V337" s="2" t="s">
        <v>90</v>
      </c>
      <c r="Y337" s="42">
        <v>0.63541666666666663</v>
      </c>
      <c r="AB337" s="2" t="s">
        <v>90</v>
      </c>
      <c r="AE337" s="2" t="s">
        <v>90</v>
      </c>
    </row>
    <row r="338" spans="1:31">
      <c r="A338" s="2">
        <v>4</v>
      </c>
      <c r="B338" s="2" t="s">
        <v>98</v>
      </c>
      <c r="C338" s="2" t="s">
        <v>66</v>
      </c>
      <c r="D338" s="2">
        <v>2</v>
      </c>
      <c r="E338" s="2" t="s">
        <v>99</v>
      </c>
      <c r="F338" s="2">
        <v>3</v>
      </c>
      <c r="G338" s="42">
        <v>0.39305555555555555</v>
      </c>
      <c r="J338" s="2" t="s">
        <v>90</v>
      </c>
      <c r="M338" s="42">
        <v>0.4694444444444445</v>
      </c>
      <c r="P338" s="2" t="s">
        <v>90</v>
      </c>
      <c r="S338" s="42">
        <v>0.55277777777777781</v>
      </c>
      <c r="V338" s="2" t="s">
        <v>90</v>
      </c>
      <c r="Y338" s="42">
        <v>0.63611111111111118</v>
      </c>
      <c r="AB338" s="2" t="s">
        <v>90</v>
      </c>
      <c r="AE338" s="2" t="s">
        <v>90</v>
      </c>
    </row>
    <row r="339" spans="1:31">
      <c r="A339" s="2">
        <v>4</v>
      </c>
      <c r="B339" s="2" t="s">
        <v>100</v>
      </c>
      <c r="C339" s="2" t="s">
        <v>66</v>
      </c>
      <c r="D339" s="2">
        <v>0</v>
      </c>
      <c r="F339" s="2">
        <v>1</v>
      </c>
      <c r="G339" s="42">
        <v>0.39374999999999999</v>
      </c>
      <c r="J339" s="2" t="s">
        <v>90</v>
      </c>
      <c r="M339" s="42">
        <v>0.47013888888888888</v>
      </c>
      <c r="P339" s="2" t="s">
        <v>90</v>
      </c>
      <c r="S339" s="42">
        <v>0.55347222222222225</v>
      </c>
      <c r="V339" s="2" t="s">
        <v>90</v>
      </c>
      <c r="Y339" s="42">
        <v>0.63680555555555551</v>
      </c>
      <c r="AB339" s="2" t="s">
        <v>90</v>
      </c>
      <c r="AE339" s="2" t="s">
        <v>90</v>
      </c>
    </row>
    <row r="340" spans="1:31">
      <c r="A340" s="2">
        <v>4</v>
      </c>
      <c r="B340" s="2" t="s">
        <v>101</v>
      </c>
      <c r="C340" s="2" t="s">
        <v>66</v>
      </c>
      <c r="D340" s="2">
        <v>0</v>
      </c>
      <c r="F340" s="2">
        <v>2</v>
      </c>
      <c r="G340" s="42">
        <v>0.39444444444444443</v>
      </c>
      <c r="J340" s="2" t="s">
        <v>90</v>
      </c>
      <c r="M340" s="42">
        <v>0.47083333333333338</v>
      </c>
      <c r="P340" s="2" t="s">
        <v>90</v>
      </c>
      <c r="S340" s="42">
        <v>0.5541666666666667</v>
      </c>
      <c r="V340" s="2" t="s">
        <v>90</v>
      </c>
      <c r="Y340" s="42">
        <v>0.63750000000000007</v>
      </c>
      <c r="AB340" s="2" t="s">
        <v>90</v>
      </c>
      <c r="AE340" s="2" t="s">
        <v>90</v>
      </c>
    </row>
    <row r="341" spans="1:31">
      <c r="A341" s="2">
        <v>4</v>
      </c>
      <c r="B341" s="2" t="s">
        <v>102</v>
      </c>
      <c r="C341" s="2" t="s">
        <v>66</v>
      </c>
      <c r="D341" s="2">
        <v>0</v>
      </c>
      <c r="F341" s="2">
        <v>5</v>
      </c>
      <c r="G341" s="2" t="s">
        <v>90</v>
      </c>
      <c r="J341" s="42">
        <v>0.41666666666666669</v>
      </c>
      <c r="M341" s="2" t="s">
        <v>90</v>
      </c>
      <c r="P341" s="42">
        <v>0.5</v>
      </c>
      <c r="S341" s="2" t="s">
        <v>90</v>
      </c>
      <c r="V341" s="42">
        <v>0.58333333333333337</v>
      </c>
      <c r="Y341" s="2" t="s">
        <v>90</v>
      </c>
      <c r="AB341" s="42">
        <v>0.66666666666666663</v>
      </c>
      <c r="AE341" s="2" t="s">
        <v>90</v>
      </c>
    </row>
    <row r="342" spans="1:31">
      <c r="A342" s="2">
        <v>4</v>
      </c>
      <c r="B342" s="2" t="s">
        <v>102</v>
      </c>
      <c r="C342" s="2" t="s">
        <v>66</v>
      </c>
      <c r="D342" s="2">
        <v>0</v>
      </c>
      <c r="F342" s="2">
        <v>3</v>
      </c>
      <c r="G342" s="42">
        <v>0.39583333333333331</v>
      </c>
      <c r="J342" s="42">
        <v>0.41666666666666669</v>
      </c>
      <c r="M342" s="42">
        <v>0.47222222222222227</v>
      </c>
      <c r="P342" s="42">
        <v>0.5</v>
      </c>
      <c r="S342" s="42">
        <v>0.55555555555555558</v>
      </c>
      <c r="V342" s="42">
        <v>0.58333333333333337</v>
      </c>
      <c r="Y342" s="42">
        <v>0.63888888888888895</v>
      </c>
      <c r="AB342" s="42">
        <v>0.66666666666666663</v>
      </c>
      <c r="AE342" s="2" t="s">
        <v>90</v>
      </c>
    </row>
    <row r="343" spans="1:31">
      <c r="A343" s="2">
        <v>4</v>
      </c>
      <c r="B343" s="2" t="s">
        <v>112</v>
      </c>
      <c r="C343" s="2" t="s">
        <v>66</v>
      </c>
      <c r="D343" s="2">
        <v>0</v>
      </c>
      <c r="F343" s="2">
        <v>1</v>
      </c>
      <c r="G343" s="42">
        <v>0.3979166666666667</v>
      </c>
      <c r="J343" s="42">
        <v>0.41875000000000001</v>
      </c>
      <c r="M343" s="42">
        <v>0.47430555555555554</v>
      </c>
      <c r="P343" s="42">
        <v>0.50208333333333333</v>
      </c>
      <c r="S343" s="42">
        <v>0.55763888888888891</v>
      </c>
      <c r="V343" s="42">
        <v>0.5854166666666667</v>
      </c>
      <c r="Y343" s="42">
        <v>0.64097222222222217</v>
      </c>
      <c r="AB343" s="42">
        <v>0.66875000000000007</v>
      </c>
      <c r="AE343" s="2" t="s">
        <v>90</v>
      </c>
    </row>
    <row r="344" spans="1:31">
      <c r="A344" s="2">
        <v>4</v>
      </c>
      <c r="B344" s="2" t="s">
        <v>103</v>
      </c>
      <c r="C344" s="2" t="s">
        <v>66</v>
      </c>
      <c r="D344" s="2">
        <v>0</v>
      </c>
      <c r="F344" s="2">
        <v>2</v>
      </c>
      <c r="G344" s="42">
        <v>0.39999999999999997</v>
      </c>
      <c r="J344" s="42">
        <v>0.42083333333333334</v>
      </c>
      <c r="M344" s="42">
        <v>0.47638888888888892</v>
      </c>
      <c r="P344" s="42">
        <v>0.50416666666666665</v>
      </c>
      <c r="S344" s="42">
        <v>0.55972222222222223</v>
      </c>
      <c r="V344" s="42">
        <v>0.58750000000000002</v>
      </c>
      <c r="Y344" s="42">
        <v>0.6430555555555556</v>
      </c>
      <c r="AB344" s="42">
        <v>0.67083333333333339</v>
      </c>
      <c r="AE344" s="2" t="s">
        <v>90</v>
      </c>
    </row>
    <row r="345" spans="1:31">
      <c r="A345" s="2">
        <v>4</v>
      </c>
      <c r="B345" s="2" t="s">
        <v>104</v>
      </c>
      <c r="C345" s="2" t="s">
        <v>66</v>
      </c>
      <c r="D345" s="2">
        <v>0</v>
      </c>
      <c r="F345" s="2">
        <v>2</v>
      </c>
      <c r="G345" s="42">
        <v>0.40069444444444446</v>
      </c>
      <c r="J345" s="42">
        <v>0.42152777777777778</v>
      </c>
      <c r="M345" s="42">
        <v>0.4770833333333333</v>
      </c>
      <c r="P345" s="42">
        <v>0.50486111111111109</v>
      </c>
      <c r="S345" s="42">
        <v>0.56041666666666667</v>
      </c>
      <c r="V345" s="42">
        <v>0.58819444444444446</v>
      </c>
      <c r="Y345" s="42">
        <v>0.64374999999999993</v>
      </c>
      <c r="AB345" s="42">
        <v>0.67152777777777783</v>
      </c>
      <c r="AE345" s="2" t="s">
        <v>90</v>
      </c>
    </row>
    <row r="346" spans="1:31">
      <c r="A346" s="2">
        <v>4</v>
      </c>
      <c r="B346" s="2" t="s">
        <v>105</v>
      </c>
      <c r="C346" s="2" t="s">
        <v>66</v>
      </c>
      <c r="D346" s="2">
        <v>0</v>
      </c>
      <c r="F346" s="2">
        <v>2</v>
      </c>
      <c r="G346" s="42">
        <v>0.40138888888888885</v>
      </c>
      <c r="J346" s="42">
        <v>0.42222222222222222</v>
      </c>
      <c r="M346" s="42">
        <v>0.4777777777777778</v>
      </c>
      <c r="P346" s="42">
        <v>0.50555555555555554</v>
      </c>
      <c r="S346" s="42">
        <v>0.56111111111111112</v>
      </c>
      <c r="V346" s="42">
        <v>0.58888888888888891</v>
      </c>
      <c r="Y346" s="42">
        <v>0.64444444444444449</v>
      </c>
      <c r="AB346" s="42">
        <v>0.67222222222222217</v>
      </c>
      <c r="AE346" s="2" t="s">
        <v>90</v>
      </c>
    </row>
    <row r="347" spans="1:31">
      <c r="A347" s="2">
        <v>4</v>
      </c>
      <c r="B347" s="2" t="s">
        <v>106</v>
      </c>
      <c r="C347" s="2" t="s">
        <v>66</v>
      </c>
      <c r="D347" s="2">
        <v>0</v>
      </c>
      <c r="F347" s="2">
        <v>2</v>
      </c>
      <c r="G347" s="42">
        <v>0.40347222222222223</v>
      </c>
      <c r="J347" s="42">
        <v>0.42430555555555555</v>
      </c>
      <c r="M347" s="42">
        <v>0.47986111111111113</v>
      </c>
      <c r="P347" s="42">
        <v>0.50763888888888886</v>
      </c>
      <c r="S347" s="42">
        <v>0.56319444444444444</v>
      </c>
      <c r="V347" s="42">
        <v>0.59097222222222223</v>
      </c>
      <c r="Y347" s="42">
        <v>0.64652777777777781</v>
      </c>
      <c r="AB347" s="42">
        <v>0.6743055555555556</v>
      </c>
      <c r="AE347" s="2" t="s">
        <v>90</v>
      </c>
    </row>
    <row r="348" spans="1:31">
      <c r="A348" s="2">
        <v>4</v>
      </c>
      <c r="B348" s="2" t="s">
        <v>107</v>
      </c>
      <c r="C348" s="2" t="s">
        <v>89</v>
      </c>
      <c r="D348" s="2">
        <v>0</v>
      </c>
      <c r="F348" s="2">
        <v>1</v>
      </c>
      <c r="G348" s="42">
        <v>0.40486111111111112</v>
      </c>
      <c r="J348" s="42">
        <v>0.42569444444444443</v>
      </c>
      <c r="M348" s="42">
        <v>0.48125000000000001</v>
      </c>
      <c r="P348" s="42">
        <v>0.50902777777777775</v>
      </c>
      <c r="S348" s="42">
        <v>0.56458333333333333</v>
      </c>
      <c r="V348" s="42">
        <v>0.59236111111111112</v>
      </c>
      <c r="Y348" s="42">
        <v>0.6479166666666667</v>
      </c>
      <c r="AB348" s="42">
        <v>0.67569444444444438</v>
      </c>
      <c r="AE348" s="2" t="s">
        <v>90</v>
      </c>
    </row>
    <row r="349" spans="1:31">
      <c r="A349" s="2">
        <v>9</v>
      </c>
      <c r="B349" s="2" t="s">
        <v>61</v>
      </c>
      <c r="C349" s="42">
        <v>0.71250000000000002</v>
      </c>
      <c r="D349" s="2" t="s">
        <v>64</v>
      </c>
      <c r="E349" s="42">
        <v>0.69513888888888886</v>
      </c>
      <c r="F349" s="2">
        <v>104</v>
      </c>
    </row>
    <row r="350" spans="1:31">
      <c r="A350" s="2">
        <v>6</v>
      </c>
      <c r="B350" s="42">
        <v>0.33333333333333331</v>
      </c>
      <c r="C350" s="2">
        <v>0</v>
      </c>
      <c r="D350" s="2" t="s">
        <v>61</v>
      </c>
      <c r="E350" s="2" t="s">
        <v>111</v>
      </c>
    </row>
    <row r="351" spans="1:31">
      <c r="A351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22</vt:i4>
      </vt:variant>
    </vt:vector>
  </HeadingPairs>
  <TitlesOfParts>
    <vt:vector size="27" baseType="lpstr">
      <vt:lpstr>Kurs 21 (VGG)</vt:lpstr>
      <vt:lpstr>Muster</vt:lpstr>
      <vt:lpstr>Kopf</vt:lpstr>
      <vt:lpstr>mdv</vt:lpstr>
      <vt:lpstr>Daten</vt:lpstr>
      <vt:lpstr>DatenBereich</vt:lpstr>
      <vt:lpstr>'Kurs 21 (VGG)'!Dienstnr</vt:lpstr>
      <vt:lpstr>Dienstnr</vt:lpstr>
      <vt:lpstr>'Kurs 21 (VGG)'!DienstText</vt:lpstr>
      <vt:lpstr>DienstText</vt:lpstr>
      <vt:lpstr>'Kurs 21 (VGG)'!FzgTyp</vt:lpstr>
      <vt:lpstr>FzgTyp</vt:lpstr>
      <vt:lpstr>GueltigAb</vt:lpstr>
      <vt:lpstr>'Kurs 21 (VGG)'!Kopf</vt:lpstr>
      <vt:lpstr>Kopf</vt:lpstr>
      <vt:lpstr>'Kurs 21 (VGG)'!Kurs</vt:lpstr>
      <vt:lpstr>Kurs</vt:lpstr>
      <vt:lpstr>'Kurs 21 (VGG)'!Linie</vt:lpstr>
      <vt:lpstr>Linie</vt:lpstr>
      <vt:lpstr>MitSteig</vt:lpstr>
      <vt:lpstr>MitZehntelminuten</vt:lpstr>
      <vt:lpstr>Projekt</vt:lpstr>
      <vt:lpstr>Titel</vt:lpstr>
      <vt:lpstr>'Kurs 21 (VGG)'!Titel1</vt:lpstr>
      <vt:lpstr>Titel1</vt:lpstr>
      <vt:lpstr>'Kurs 21 (VGG)'!Titel2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2022-11-30T11:34:45Z</cp:lastPrinted>
  <dcterms:created xsi:type="dcterms:W3CDTF">1999-12-27T16:54:18Z</dcterms:created>
  <dcterms:modified xsi:type="dcterms:W3CDTF">2022-11-30T11:50:14Z</dcterms:modified>
</cp:coreProperties>
</file>